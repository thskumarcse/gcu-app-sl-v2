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3"/>
  </bookViews>
  <sheets>
    <sheet name="biometric" sheetId="6" r:id="rId1"/>
    <sheet name="exempted" sheetId="7" r:id="rId2"/>
    <sheet name="erp_leave" sheetId="4" r:id="rId3"/>
    <sheet name="calculation" sheetId="2" r:id="rId4"/>
    <sheet name="Final_report" sheetId="5" r:id="rId5"/>
  </sheets>
  <calcPr calcId="124519"/>
</workbook>
</file>

<file path=xl/calcChain.xml><?xml version="1.0" encoding="utf-8"?>
<calcChain xmlns="http://schemas.openxmlformats.org/spreadsheetml/2006/main">
  <c r="G2" i="2"/>
  <c r="F2"/>
  <c r="A2" l="1"/>
  <c r="B2"/>
  <c r="C2"/>
  <c r="D2"/>
  <c r="A3"/>
  <c r="B3"/>
  <c r="C3"/>
  <c r="D3"/>
  <c r="A4"/>
  <c r="B4"/>
  <c r="C4"/>
  <c r="D4"/>
  <c r="A5"/>
  <c r="B5"/>
  <c r="C5"/>
  <c r="D5"/>
  <c r="A6"/>
  <c r="B6"/>
  <c r="C6"/>
  <c r="D6"/>
  <c r="A7"/>
  <c r="B7"/>
  <c r="C7"/>
  <c r="D7"/>
  <c r="A8"/>
  <c r="B8"/>
  <c r="C8"/>
  <c r="D8"/>
  <c r="A9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A17"/>
  <c r="B17"/>
  <c r="C17"/>
  <c r="D17"/>
  <c r="A18"/>
  <c r="B18"/>
  <c r="C18"/>
  <c r="D18"/>
  <c r="A19"/>
  <c r="B19"/>
  <c r="C19"/>
  <c r="D19"/>
  <c r="A20"/>
  <c r="B20"/>
  <c r="C20"/>
  <c r="D20"/>
  <c r="A21"/>
  <c r="B21"/>
  <c r="C21"/>
  <c r="D21"/>
  <c r="A22"/>
  <c r="B22"/>
  <c r="C22"/>
  <c r="D22"/>
  <c r="A23"/>
  <c r="B23"/>
  <c r="C23"/>
  <c r="D23"/>
  <c r="A24"/>
  <c r="B24"/>
  <c r="C24"/>
  <c r="D24"/>
  <c r="A25"/>
  <c r="B25"/>
  <c r="C25"/>
  <c r="D25"/>
  <c r="A26"/>
  <c r="B26"/>
  <c r="C26"/>
  <c r="D26"/>
  <c r="A27"/>
  <c r="B27"/>
  <c r="C27"/>
  <c r="D27"/>
  <c r="A28"/>
  <c r="B28"/>
  <c r="C28"/>
  <c r="D28"/>
  <c r="A29"/>
  <c r="B29"/>
  <c r="C29"/>
  <c r="D29"/>
  <c r="A30"/>
  <c r="B30"/>
  <c r="C30"/>
  <c r="D30"/>
  <c r="A31"/>
  <c r="B31"/>
  <c r="C31"/>
  <c r="D31"/>
  <c r="A32"/>
  <c r="B32"/>
  <c r="C32"/>
  <c r="D32"/>
  <c r="A33"/>
  <c r="B33"/>
  <c r="C33"/>
  <c r="D33"/>
  <c r="A34"/>
  <c r="B34"/>
  <c r="C34"/>
  <c r="D34"/>
  <c r="A35"/>
  <c r="B35"/>
  <c r="C35"/>
  <c r="D35"/>
  <c r="A36"/>
  <c r="B36"/>
  <c r="C36"/>
  <c r="D36"/>
  <c r="A37"/>
  <c r="B37"/>
  <c r="C37"/>
  <c r="D37"/>
  <c r="A38"/>
  <c r="B38"/>
  <c r="C38"/>
  <c r="D38"/>
  <c r="A39"/>
  <c r="B39"/>
  <c r="C39"/>
  <c r="D39"/>
  <c r="A40"/>
  <c r="B40"/>
  <c r="C40"/>
  <c r="D40"/>
  <c r="A41"/>
  <c r="B41"/>
  <c r="C41"/>
  <c r="D41"/>
  <c r="A42"/>
  <c r="B42"/>
  <c r="C42"/>
  <c r="D42"/>
  <c r="A43"/>
  <c r="B43"/>
  <c r="C43"/>
  <c r="D43"/>
  <c r="A44"/>
  <c r="B44"/>
  <c r="C44"/>
  <c r="D44"/>
  <c r="A45"/>
  <c r="B45"/>
  <c r="C45"/>
  <c r="D45"/>
  <c r="A46"/>
  <c r="B46"/>
  <c r="C46"/>
  <c r="D46"/>
  <c r="A47"/>
  <c r="B47"/>
  <c r="C47"/>
  <c r="D47"/>
  <c r="A48"/>
  <c r="B48"/>
  <c r="C48"/>
  <c r="D48"/>
  <c r="A49"/>
  <c r="B49"/>
  <c r="C49"/>
  <c r="D49"/>
  <c r="A50"/>
  <c r="B50"/>
  <c r="C50"/>
  <c r="D50"/>
  <c r="A51"/>
  <c r="B51"/>
  <c r="C51"/>
  <c r="D51"/>
  <c r="A52"/>
  <c r="B52"/>
  <c r="C52"/>
  <c r="D52"/>
  <c r="A53"/>
  <c r="B53"/>
  <c r="C53"/>
  <c r="D53"/>
  <c r="A54"/>
  <c r="B54"/>
  <c r="C54"/>
  <c r="D54"/>
  <c r="A55"/>
  <c r="B55"/>
  <c r="C55"/>
  <c r="D55"/>
  <c r="A56"/>
  <c r="B56"/>
  <c r="C56"/>
  <c r="D56"/>
  <c r="A57"/>
  <c r="B57"/>
  <c r="C57"/>
  <c r="D57"/>
  <c r="A58"/>
  <c r="B58"/>
  <c r="C58"/>
  <c r="D58"/>
  <c r="A59"/>
  <c r="B59"/>
  <c r="C59"/>
  <c r="D59"/>
  <c r="A60"/>
  <c r="B60"/>
  <c r="C60"/>
  <c r="D60"/>
  <c r="A61"/>
  <c r="B61"/>
  <c r="C61"/>
  <c r="D61"/>
  <c r="A62"/>
  <c r="B62"/>
  <c r="C62"/>
  <c r="D62"/>
  <c r="A63"/>
  <c r="B63"/>
  <c r="C63"/>
  <c r="D63"/>
  <c r="A64"/>
  <c r="B64"/>
  <c r="C64"/>
  <c r="D64"/>
  <c r="A65"/>
  <c r="B65"/>
  <c r="C65"/>
  <c r="D65"/>
  <c r="A66"/>
  <c r="B66"/>
  <c r="C66"/>
  <c r="D66"/>
  <c r="A67"/>
  <c r="B67"/>
  <c r="C67"/>
  <c r="D67"/>
  <c r="A68"/>
  <c r="B68"/>
  <c r="C68"/>
  <c r="D68"/>
  <c r="A69"/>
  <c r="B69"/>
  <c r="C69"/>
  <c r="D69"/>
  <c r="A70"/>
  <c r="B70"/>
  <c r="C70"/>
  <c r="D70"/>
  <c r="A71"/>
  <c r="B71"/>
  <c r="C71"/>
  <c r="D71"/>
  <c r="A72"/>
  <c r="B72"/>
  <c r="C72"/>
  <c r="D72"/>
  <c r="A73"/>
  <c r="B73"/>
  <c r="C73"/>
  <c r="D73"/>
  <c r="A74"/>
  <c r="B74"/>
  <c r="C74"/>
  <c r="D74"/>
  <c r="A75"/>
  <c r="B75"/>
  <c r="C75"/>
  <c r="D75"/>
  <c r="A76"/>
  <c r="B76"/>
  <c r="C76"/>
  <c r="D76"/>
  <c r="A77"/>
  <c r="B77"/>
  <c r="C77"/>
  <c r="D77"/>
  <c r="A78"/>
  <c r="B78"/>
  <c r="C78"/>
  <c r="D78"/>
  <c r="A79"/>
  <c r="B79"/>
  <c r="C79"/>
  <c r="D79"/>
  <c r="A80"/>
  <c r="B80"/>
  <c r="C80"/>
  <c r="D80"/>
  <c r="A81"/>
  <c r="B81"/>
  <c r="C81"/>
  <c r="D81"/>
  <c r="A82"/>
  <c r="B82"/>
  <c r="C82"/>
  <c r="D82"/>
  <c r="A83"/>
  <c r="B83"/>
  <c r="C83"/>
  <c r="D83"/>
  <c r="A84"/>
  <c r="B84"/>
  <c r="C84"/>
  <c r="D84"/>
  <c r="A85"/>
  <c r="B85"/>
  <c r="C85"/>
  <c r="D85"/>
  <c r="A86"/>
  <c r="B86"/>
  <c r="C86"/>
  <c r="D86"/>
  <c r="A87"/>
  <c r="B87"/>
  <c r="C87"/>
  <c r="D87"/>
  <c r="A88"/>
  <c r="B88"/>
  <c r="C88"/>
  <c r="D88"/>
  <c r="A89"/>
  <c r="B89"/>
  <c r="C89"/>
  <c r="D89"/>
  <c r="A90"/>
  <c r="B90"/>
  <c r="C90"/>
  <c r="D90"/>
  <c r="A91"/>
  <c r="B91"/>
  <c r="C91"/>
  <c r="D91"/>
  <c r="A92"/>
  <c r="B92"/>
  <c r="C92"/>
  <c r="D92"/>
  <c r="A93"/>
  <c r="B93"/>
  <c r="C93"/>
  <c r="D93"/>
  <c r="A94"/>
  <c r="B94"/>
  <c r="C94"/>
  <c r="D94"/>
  <c r="A95"/>
  <c r="B95"/>
  <c r="C95"/>
  <c r="D95"/>
  <c r="A96"/>
  <c r="B96"/>
  <c r="C96"/>
  <c r="D96"/>
  <c r="A97"/>
  <c r="B97"/>
  <c r="C97"/>
  <c r="D97"/>
  <c r="A98"/>
  <c r="B98"/>
  <c r="C98"/>
  <c r="D98"/>
  <c r="A99"/>
  <c r="B99"/>
  <c r="C99"/>
  <c r="D99"/>
  <c r="A100"/>
  <c r="B100"/>
  <c r="C100"/>
  <c r="D100"/>
  <c r="A101"/>
  <c r="B101"/>
  <c r="C101"/>
  <c r="D101"/>
  <c r="A102"/>
  <c r="B102"/>
  <c r="C102"/>
  <c r="D102"/>
  <c r="A103"/>
  <c r="B103"/>
  <c r="C103"/>
  <c r="D103"/>
  <c r="A104"/>
  <c r="B104"/>
  <c r="C104"/>
  <c r="D104"/>
  <c r="A105"/>
  <c r="B105"/>
  <c r="C105"/>
  <c r="D105"/>
  <c r="A106"/>
  <c r="B106"/>
  <c r="C106"/>
  <c r="D106"/>
  <c r="A107"/>
  <c r="B107"/>
  <c r="C107"/>
  <c r="D107"/>
  <c r="A108"/>
  <c r="B108"/>
  <c r="C108"/>
  <c r="D108"/>
  <c r="A109"/>
  <c r="B109"/>
  <c r="C109"/>
  <c r="D109"/>
  <c r="A110"/>
  <c r="B110"/>
  <c r="C110"/>
  <c r="D110"/>
  <c r="A111"/>
  <c r="B111"/>
  <c r="C111"/>
  <c r="D111"/>
  <c r="A112"/>
  <c r="B112"/>
  <c r="C112"/>
  <c r="D112"/>
  <c r="A113"/>
  <c r="B113"/>
  <c r="C113"/>
  <c r="D113"/>
  <c r="A114"/>
  <c r="B114"/>
  <c r="C114"/>
  <c r="D114"/>
  <c r="A115"/>
  <c r="B115"/>
  <c r="C115"/>
  <c r="D115"/>
  <c r="A116"/>
  <c r="B116"/>
  <c r="C116"/>
  <c r="D116"/>
  <c r="A117"/>
  <c r="B117"/>
  <c r="C117"/>
  <c r="D117"/>
  <c r="A118"/>
  <c r="B118"/>
  <c r="C118"/>
  <c r="D118"/>
  <c r="A119"/>
  <c r="B119"/>
  <c r="C119"/>
  <c r="D119"/>
  <c r="A120"/>
  <c r="B120"/>
  <c r="C120"/>
  <c r="D120"/>
  <c r="A121"/>
  <c r="B121"/>
  <c r="C121"/>
  <c r="D121"/>
  <c r="A122"/>
  <c r="B122"/>
  <c r="C122"/>
  <c r="D122"/>
  <c r="A123"/>
  <c r="B123"/>
  <c r="C123"/>
  <c r="D123"/>
  <c r="A124"/>
  <c r="B124"/>
  <c r="C124"/>
  <c r="D124"/>
  <c r="A125"/>
  <c r="B125"/>
  <c r="C125"/>
  <c r="D125"/>
  <c r="A126"/>
  <c r="B126"/>
  <c r="C126"/>
  <c r="D126"/>
  <c r="A127"/>
  <c r="B127"/>
  <c r="C127"/>
  <c r="D127"/>
  <c r="A128"/>
  <c r="B128"/>
  <c r="C128"/>
  <c r="D128"/>
  <c r="A129"/>
  <c r="B129"/>
  <c r="C129"/>
  <c r="D129"/>
  <c r="A130"/>
  <c r="B130"/>
  <c r="C130"/>
  <c r="D130"/>
  <c r="A131"/>
  <c r="B131"/>
  <c r="C131"/>
  <c r="D131"/>
  <c r="A132"/>
  <c r="B132"/>
  <c r="C132"/>
  <c r="D132"/>
  <c r="A133"/>
  <c r="B133"/>
  <c r="C133"/>
  <c r="D133"/>
  <c r="A134"/>
  <c r="B134"/>
  <c r="C134"/>
  <c r="D134"/>
  <c r="A135"/>
  <c r="B135"/>
  <c r="C135"/>
  <c r="D135"/>
  <c r="A136"/>
  <c r="B136"/>
  <c r="C136"/>
  <c r="D136"/>
  <c r="A137"/>
  <c r="B137"/>
  <c r="C137"/>
  <c r="D137"/>
  <c r="A138"/>
  <c r="B138"/>
  <c r="C138"/>
  <c r="D138"/>
  <c r="A139"/>
  <c r="B139"/>
  <c r="C139"/>
  <c r="D139"/>
  <c r="A140"/>
  <c r="B140"/>
  <c r="C140"/>
  <c r="D140"/>
  <c r="A141"/>
  <c r="B141"/>
  <c r="C141"/>
  <c r="D141"/>
  <c r="A142"/>
  <c r="B142"/>
  <c r="C142"/>
  <c r="D142"/>
  <c r="A143"/>
  <c r="B143"/>
  <c r="C143"/>
  <c r="D143"/>
  <c r="A144"/>
  <c r="B144"/>
  <c r="C144"/>
  <c r="D144"/>
  <c r="D1"/>
  <c r="B1"/>
  <c r="C1"/>
  <c r="A1"/>
  <c r="O132"/>
  <c r="O133"/>
  <c r="O134"/>
  <c r="K135"/>
  <c r="O136"/>
  <c r="L137"/>
  <c r="L138"/>
  <c r="K139"/>
  <c r="O140"/>
  <c r="L141"/>
  <c r="L142"/>
  <c r="K143"/>
  <c r="O144"/>
  <c r="K119"/>
  <c r="O120"/>
  <c r="O121"/>
  <c r="O122"/>
  <c r="K123"/>
  <c r="O124"/>
  <c r="L125"/>
  <c r="L126"/>
  <c r="K127"/>
  <c r="O128"/>
  <c r="L129"/>
  <c r="L130"/>
  <c r="K131"/>
  <c r="K111"/>
  <c r="O112"/>
  <c r="L113"/>
  <c r="L114"/>
  <c r="K115"/>
  <c r="O116"/>
  <c r="L117"/>
  <c r="L118"/>
  <c r="K2"/>
  <c r="K3"/>
  <c r="O4"/>
  <c r="L5"/>
  <c r="L6"/>
  <c r="K7"/>
  <c r="O8"/>
  <c r="L9"/>
  <c r="L10"/>
  <c r="K11"/>
  <c r="O12"/>
  <c r="O13"/>
  <c r="O14"/>
  <c r="K15"/>
  <c r="O16"/>
  <c r="L17"/>
  <c r="L18"/>
  <c r="K19"/>
  <c r="O20"/>
  <c r="L21"/>
  <c r="L22"/>
  <c r="K23"/>
  <c r="O24"/>
  <c r="O25"/>
  <c r="O26"/>
  <c r="K27"/>
  <c r="O28"/>
  <c r="L29"/>
  <c r="L30"/>
  <c r="K31"/>
  <c r="O32"/>
  <c r="L33"/>
  <c r="L34"/>
  <c r="K35"/>
  <c r="O36"/>
  <c r="O37"/>
  <c r="O38"/>
  <c r="K39"/>
  <c r="O40"/>
  <c r="L41"/>
  <c r="L42"/>
  <c r="K43"/>
  <c r="O44"/>
  <c r="L45"/>
  <c r="L46"/>
  <c r="K47"/>
  <c r="O48"/>
  <c r="O49"/>
  <c r="O50"/>
  <c r="K51"/>
  <c r="O52"/>
  <c r="L53"/>
  <c r="L54"/>
  <c r="K55"/>
  <c r="O56"/>
  <c r="L57"/>
  <c r="L58"/>
  <c r="K59"/>
  <c r="O60"/>
  <c r="O61"/>
  <c r="O62"/>
  <c r="K63"/>
  <c r="O64"/>
  <c r="L65"/>
  <c r="L66"/>
  <c r="K67"/>
  <c r="O68"/>
  <c r="L69"/>
  <c r="L70"/>
  <c r="K71"/>
  <c r="O72"/>
  <c r="O73"/>
  <c r="O74"/>
  <c r="K75"/>
  <c r="O76"/>
  <c r="L77"/>
  <c r="L78"/>
  <c r="K79"/>
  <c r="O80"/>
  <c r="L81"/>
  <c r="L82"/>
  <c r="K83"/>
  <c r="O84"/>
  <c r="O85"/>
  <c r="O86"/>
  <c r="K87"/>
  <c r="O88"/>
  <c r="L89"/>
  <c r="L90"/>
  <c r="K91"/>
  <c r="O92"/>
  <c r="L93"/>
  <c r="L94"/>
  <c r="K95"/>
  <c r="O96"/>
  <c r="O97"/>
  <c r="O98"/>
  <c r="K99"/>
  <c r="O100"/>
  <c r="L101"/>
  <c r="L102"/>
  <c r="K103"/>
  <c r="O104"/>
  <c r="L105"/>
  <c r="L106"/>
  <c r="K107"/>
  <c r="O108"/>
  <c r="O109"/>
  <c r="O110"/>
  <c r="O137" l="1"/>
  <c r="O141"/>
  <c r="O143"/>
  <c r="O119"/>
  <c r="O125"/>
  <c r="O142"/>
  <c r="O131"/>
  <c r="O2"/>
  <c r="O139"/>
  <c r="O129"/>
  <c r="O117"/>
  <c r="O105"/>
  <c r="O93"/>
  <c r="O81"/>
  <c r="O69"/>
  <c r="O57"/>
  <c r="O45"/>
  <c r="O33"/>
  <c r="O21"/>
  <c r="O9"/>
  <c r="O130"/>
  <c r="O118"/>
  <c r="O106"/>
  <c r="O94"/>
  <c r="O82"/>
  <c r="O70"/>
  <c r="O58"/>
  <c r="O46"/>
  <c r="O34"/>
  <c r="O22"/>
  <c r="O10"/>
  <c r="O107"/>
  <c r="O95"/>
  <c r="O83"/>
  <c r="O71"/>
  <c r="O59"/>
  <c r="O47"/>
  <c r="O35"/>
  <c r="O23"/>
  <c r="O11"/>
  <c r="O135"/>
  <c r="O123"/>
  <c r="O111"/>
  <c r="O99"/>
  <c r="O87"/>
  <c r="O75"/>
  <c r="O63"/>
  <c r="O51"/>
  <c r="O39"/>
  <c r="O27"/>
  <c r="O15"/>
  <c r="O3"/>
  <c r="O113"/>
  <c r="O101"/>
  <c r="O89"/>
  <c r="O77"/>
  <c r="O65"/>
  <c r="O53"/>
  <c r="O41"/>
  <c r="O29"/>
  <c r="O17"/>
  <c r="O5"/>
  <c r="O138"/>
  <c r="O126"/>
  <c r="O114"/>
  <c r="O102"/>
  <c r="O90"/>
  <c r="O78"/>
  <c r="O66"/>
  <c r="O54"/>
  <c r="O42"/>
  <c r="O30"/>
  <c r="O18"/>
  <c r="O6"/>
  <c r="O127"/>
  <c r="O115"/>
  <c r="O103"/>
  <c r="O91"/>
  <c r="O79"/>
  <c r="O67"/>
  <c r="O55"/>
  <c r="O43"/>
  <c r="O31"/>
  <c r="O19"/>
  <c r="O7"/>
  <c r="G134"/>
  <c r="H134"/>
  <c r="G133"/>
  <c r="H144"/>
  <c r="H138"/>
  <c r="H132"/>
  <c r="H126"/>
  <c r="H120"/>
  <c r="H114"/>
  <c r="H108"/>
  <c r="H102"/>
  <c r="H96"/>
  <c r="H90"/>
  <c r="H84"/>
  <c r="H78"/>
  <c r="H72"/>
  <c r="H66"/>
  <c r="H60"/>
  <c r="H54"/>
  <c r="H48"/>
  <c r="H42"/>
  <c r="H36"/>
  <c r="H30"/>
  <c r="H24"/>
  <c r="H18"/>
  <c r="H12"/>
  <c r="H6"/>
  <c r="I135"/>
  <c r="I123"/>
  <c r="I111"/>
  <c r="I99"/>
  <c r="I87"/>
  <c r="I75"/>
  <c r="I63"/>
  <c r="I51"/>
  <c r="I39"/>
  <c r="I27"/>
  <c r="I15"/>
  <c r="I3"/>
  <c r="H2"/>
  <c r="G139"/>
  <c r="G127"/>
  <c r="G121"/>
  <c r="G115"/>
  <c r="G109"/>
  <c r="G103"/>
  <c r="G97"/>
  <c r="G91"/>
  <c r="G85"/>
  <c r="G79"/>
  <c r="G73"/>
  <c r="G67"/>
  <c r="G61"/>
  <c r="G55"/>
  <c r="G49"/>
  <c r="G43"/>
  <c r="G37"/>
  <c r="G31"/>
  <c r="G25"/>
  <c r="G19"/>
  <c r="G13"/>
  <c r="G7"/>
  <c r="I136"/>
  <c r="I124"/>
  <c r="I112"/>
  <c r="I100"/>
  <c r="I88"/>
  <c r="I76"/>
  <c r="I64"/>
  <c r="I52"/>
  <c r="I40"/>
  <c r="I28"/>
  <c r="I16"/>
  <c r="I4"/>
  <c r="H139"/>
  <c r="H133"/>
  <c r="H127"/>
  <c r="H121"/>
  <c r="H115"/>
  <c r="H109"/>
  <c r="H103"/>
  <c r="H97"/>
  <c r="H91"/>
  <c r="H85"/>
  <c r="H79"/>
  <c r="H73"/>
  <c r="H67"/>
  <c r="H61"/>
  <c r="H55"/>
  <c r="H49"/>
  <c r="H43"/>
  <c r="H37"/>
  <c r="H31"/>
  <c r="H25"/>
  <c r="H19"/>
  <c r="H13"/>
  <c r="H7"/>
  <c r="I137"/>
  <c r="I125"/>
  <c r="I113"/>
  <c r="I101"/>
  <c r="I89"/>
  <c r="I77"/>
  <c r="I65"/>
  <c r="I53"/>
  <c r="I41"/>
  <c r="I29"/>
  <c r="I17"/>
  <c r="I5"/>
  <c r="G140"/>
  <c r="G128"/>
  <c r="G122"/>
  <c r="G116"/>
  <c r="G110"/>
  <c r="G104"/>
  <c r="G98"/>
  <c r="G92"/>
  <c r="G86"/>
  <c r="G80"/>
  <c r="G74"/>
  <c r="G68"/>
  <c r="G62"/>
  <c r="G56"/>
  <c r="G50"/>
  <c r="G44"/>
  <c r="G38"/>
  <c r="G32"/>
  <c r="G26"/>
  <c r="G20"/>
  <c r="G14"/>
  <c r="G8"/>
  <c r="I138"/>
  <c r="I126"/>
  <c r="I114"/>
  <c r="I102"/>
  <c r="I90"/>
  <c r="I78"/>
  <c r="I66"/>
  <c r="I54"/>
  <c r="I42"/>
  <c r="I30"/>
  <c r="I18"/>
  <c r="I6"/>
  <c r="H140"/>
  <c r="H128"/>
  <c r="H122"/>
  <c r="H116"/>
  <c r="H110"/>
  <c r="H104"/>
  <c r="H98"/>
  <c r="H92"/>
  <c r="H86"/>
  <c r="H80"/>
  <c r="H74"/>
  <c r="H68"/>
  <c r="H62"/>
  <c r="H56"/>
  <c r="H50"/>
  <c r="H44"/>
  <c r="H38"/>
  <c r="H32"/>
  <c r="H26"/>
  <c r="H20"/>
  <c r="H14"/>
  <c r="H8"/>
  <c r="I2"/>
  <c r="I139"/>
  <c r="I127"/>
  <c r="I115"/>
  <c r="I103"/>
  <c r="I91"/>
  <c r="I79"/>
  <c r="I67"/>
  <c r="I55"/>
  <c r="I43"/>
  <c r="I31"/>
  <c r="I19"/>
  <c r="I7"/>
  <c r="G141"/>
  <c r="G135"/>
  <c r="G129"/>
  <c r="G123"/>
  <c r="G117"/>
  <c r="G111"/>
  <c r="G105"/>
  <c r="G99"/>
  <c r="G93"/>
  <c r="G87"/>
  <c r="G75"/>
  <c r="G69"/>
  <c r="G63"/>
  <c r="G57"/>
  <c r="G51"/>
  <c r="G45"/>
  <c r="G39"/>
  <c r="G33"/>
  <c r="G27"/>
  <c r="G21"/>
  <c r="G15"/>
  <c r="G9"/>
  <c r="G3"/>
  <c r="I140"/>
  <c r="I128"/>
  <c r="I116"/>
  <c r="I104"/>
  <c r="I92"/>
  <c r="I80"/>
  <c r="I68"/>
  <c r="I56"/>
  <c r="I44"/>
  <c r="I32"/>
  <c r="I20"/>
  <c r="I8"/>
  <c r="H141"/>
  <c r="H135"/>
  <c r="H129"/>
  <c r="H123"/>
  <c r="H117"/>
  <c r="H111"/>
  <c r="H105"/>
  <c r="H99"/>
  <c r="H93"/>
  <c r="H87"/>
  <c r="H81"/>
  <c r="H75"/>
  <c r="H69"/>
  <c r="H63"/>
  <c r="H57"/>
  <c r="H51"/>
  <c r="H45"/>
  <c r="H39"/>
  <c r="H33"/>
  <c r="H27"/>
  <c r="H21"/>
  <c r="H15"/>
  <c r="H9"/>
  <c r="H3"/>
  <c r="I141"/>
  <c r="I129"/>
  <c r="I117"/>
  <c r="I105"/>
  <c r="I93"/>
  <c r="I81"/>
  <c r="I69"/>
  <c r="I57"/>
  <c r="I45"/>
  <c r="I33"/>
  <c r="I21"/>
  <c r="I9"/>
  <c r="G142"/>
  <c r="G136"/>
  <c r="G130"/>
  <c r="G124"/>
  <c r="G118"/>
  <c r="G112"/>
  <c r="G106"/>
  <c r="G100"/>
  <c r="G94"/>
  <c r="G88"/>
  <c r="G82"/>
  <c r="G76"/>
  <c r="G70"/>
  <c r="G64"/>
  <c r="G58"/>
  <c r="G52"/>
  <c r="G46"/>
  <c r="G40"/>
  <c r="G34"/>
  <c r="G28"/>
  <c r="G22"/>
  <c r="G16"/>
  <c r="G10"/>
  <c r="G4"/>
  <c r="I142"/>
  <c r="I130"/>
  <c r="I118"/>
  <c r="I106"/>
  <c r="I94"/>
  <c r="I82"/>
  <c r="I70"/>
  <c r="I58"/>
  <c r="I46"/>
  <c r="I34"/>
  <c r="I22"/>
  <c r="I10"/>
  <c r="H142"/>
  <c r="H136"/>
  <c r="H130"/>
  <c r="H124"/>
  <c r="H118"/>
  <c r="H112"/>
  <c r="H106"/>
  <c r="H100"/>
  <c r="H94"/>
  <c r="H88"/>
  <c r="H82"/>
  <c r="H76"/>
  <c r="H70"/>
  <c r="H64"/>
  <c r="H58"/>
  <c r="H52"/>
  <c r="H46"/>
  <c r="H40"/>
  <c r="H34"/>
  <c r="H28"/>
  <c r="H22"/>
  <c r="H16"/>
  <c r="H10"/>
  <c r="H4"/>
  <c r="I143"/>
  <c r="I131"/>
  <c r="I119"/>
  <c r="I107"/>
  <c r="I95"/>
  <c r="I83"/>
  <c r="I71"/>
  <c r="I59"/>
  <c r="I47"/>
  <c r="I35"/>
  <c r="I23"/>
  <c r="I11"/>
  <c r="G143"/>
  <c r="G137"/>
  <c r="G131"/>
  <c r="G125"/>
  <c r="G119"/>
  <c r="G113"/>
  <c r="G107"/>
  <c r="G101"/>
  <c r="G95"/>
  <c r="G89"/>
  <c r="G83"/>
  <c r="G77"/>
  <c r="G71"/>
  <c r="G65"/>
  <c r="G59"/>
  <c r="G53"/>
  <c r="G47"/>
  <c r="G41"/>
  <c r="G35"/>
  <c r="G29"/>
  <c r="G23"/>
  <c r="G17"/>
  <c r="G11"/>
  <c r="G5"/>
  <c r="I144"/>
  <c r="I132"/>
  <c r="I120"/>
  <c r="I108"/>
  <c r="I96"/>
  <c r="I84"/>
  <c r="I72"/>
  <c r="I60"/>
  <c r="I48"/>
  <c r="I36"/>
  <c r="I24"/>
  <c r="I12"/>
  <c r="H143"/>
  <c r="H137"/>
  <c r="H131"/>
  <c r="H125"/>
  <c r="H119"/>
  <c r="H113"/>
  <c r="H107"/>
  <c r="H101"/>
  <c r="H95"/>
  <c r="H89"/>
  <c r="H83"/>
  <c r="H77"/>
  <c r="H71"/>
  <c r="H65"/>
  <c r="H59"/>
  <c r="H53"/>
  <c r="H47"/>
  <c r="H41"/>
  <c r="H35"/>
  <c r="H29"/>
  <c r="H23"/>
  <c r="H17"/>
  <c r="H11"/>
  <c r="H5"/>
  <c r="I133"/>
  <c r="I121"/>
  <c r="I109"/>
  <c r="I97"/>
  <c r="I85"/>
  <c r="I73"/>
  <c r="I61"/>
  <c r="I49"/>
  <c r="I37"/>
  <c r="I25"/>
  <c r="I13"/>
  <c r="G144"/>
  <c r="G138"/>
  <c r="G132"/>
  <c r="G126"/>
  <c r="G120"/>
  <c r="G114"/>
  <c r="G108"/>
  <c r="G102"/>
  <c r="G96"/>
  <c r="G90"/>
  <c r="G84"/>
  <c r="G78"/>
  <c r="G72"/>
  <c r="G66"/>
  <c r="G60"/>
  <c r="G54"/>
  <c r="G48"/>
  <c r="G42"/>
  <c r="G36"/>
  <c r="G30"/>
  <c r="G24"/>
  <c r="G18"/>
  <c r="G12"/>
  <c r="G6"/>
  <c r="I134"/>
  <c r="I122"/>
  <c r="I110"/>
  <c r="I98"/>
  <c r="I86"/>
  <c r="I74"/>
  <c r="I62"/>
  <c r="I50"/>
  <c r="I38"/>
  <c r="I26"/>
  <c r="I14"/>
  <c r="L135"/>
  <c r="M135" s="1"/>
  <c r="L87"/>
  <c r="M87" s="1"/>
  <c r="L39"/>
  <c r="M39" s="1"/>
  <c r="L139"/>
  <c r="M139" s="1"/>
  <c r="L91"/>
  <c r="M91" s="1"/>
  <c r="L43"/>
  <c r="M43" s="1"/>
  <c r="L143"/>
  <c r="M143" s="1"/>
  <c r="L95"/>
  <c r="M95" s="1"/>
  <c r="L47"/>
  <c r="M47" s="1"/>
  <c r="L99"/>
  <c r="M99" s="1"/>
  <c r="L51"/>
  <c r="M51" s="1"/>
  <c r="L3"/>
  <c r="M3" s="1"/>
  <c r="L103"/>
  <c r="M103" s="1"/>
  <c r="L55"/>
  <c r="M55" s="1"/>
  <c r="L7"/>
  <c r="M7" s="1"/>
  <c r="L107"/>
  <c r="M107" s="1"/>
  <c r="L59"/>
  <c r="M59" s="1"/>
  <c r="L11"/>
  <c r="M11" s="1"/>
  <c r="L111"/>
  <c r="M111" s="1"/>
  <c r="L63"/>
  <c r="M63" s="1"/>
  <c r="L15"/>
  <c r="M15" s="1"/>
  <c r="J2"/>
  <c r="L115"/>
  <c r="M115" s="1"/>
  <c r="L67"/>
  <c r="M67" s="1"/>
  <c r="L19"/>
  <c r="M19" s="1"/>
  <c r="L119"/>
  <c r="M119" s="1"/>
  <c r="L71"/>
  <c r="M71" s="1"/>
  <c r="L23"/>
  <c r="M23" s="1"/>
  <c r="L123"/>
  <c r="M123" s="1"/>
  <c r="L75"/>
  <c r="M75" s="1"/>
  <c r="L27"/>
  <c r="M27" s="1"/>
  <c r="L127"/>
  <c r="M127" s="1"/>
  <c r="L79"/>
  <c r="M79" s="1"/>
  <c r="L31"/>
  <c r="M31" s="1"/>
  <c r="L131"/>
  <c r="M131" s="1"/>
  <c r="L83"/>
  <c r="M83" s="1"/>
  <c r="L35"/>
  <c r="M35" s="1"/>
  <c r="J144"/>
  <c r="J140"/>
  <c r="J136"/>
  <c r="J132"/>
  <c r="J128"/>
  <c r="J124"/>
  <c r="J120"/>
  <c r="J116"/>
  <c r="J112"/>
  <c r="J108"/>
  <c r="J104"/>
  <c r="J100"/>
  <c r="J96"/>
  <c r="J92"/>
  <c r="J88"/>
  <c r="J84"/>
  <c r="J80"/>
  <c r="J76"/>
  <c r="J72"/>
  <c r="J68"/>
  <c r="J64"/>
  <c r="J60"/>
  <c r="J56"/>
  <c r="J52"/>
  <c r="J48"/>
  <c r="J44"/>
  <c r="J40"/>
  <c r="J36"/>
  <c r="J32"/>
  <c r="J28"/>
  <c r="J24"/>
  <c r="J20"/>
  <c r="J16"/>
  <c r="J12"/>
  <c r="J8"/>
  <c r="J4"/>
  <c r="K144"/>
  <c r="K140"/>
  <c r="K136"/>
  <c r="K132"/>
  <c r="K128"/>
  <c r="K124"/>
  <c r="K120"/>
  <c r="K116"/>
  <c r="K112"/>
  <c r="K108"/>
  <c r="K104"/>
  <c r="K100"/>
  <c r="K96"/>
  <c r="K92"/>
  <c r="K88"/>
  <c r="K84"/>
  <c r="K80"/>
  <c r="K76"/>
  <c r="K72"/>
  <c r="K68"/>
  <c r="K64"/>
  <c r="K60"/>
  <c r="K56"/>
  <c r="K52"/>
  <c r="K48"/>
  <c r="K44"/>
  <c r="K40"/>
  <c r="K36"/>
  <c r="K32"/>
  <c r="K28"/>
  <c r="K24"/>
  <c r="K20"/>
  <c r="K16"/>
  <c r="K12"/>
  <c r="K8"/>
  <c r="K4"/>
  <c r="L144"/>
  <c r="L140"/>
  <c r="L136"/>
  <c r="L132"/>
  <c r="L128"/>
  <c r="L124"/>
  <c r="L120"/>
  <c r="L116"/>
  <c r="L112"/>
  <c r="L108"/>
  <c r="L104"/>
  <c r="L100"/>
  <c r="L96"/>
  <c r="L92"/>
  <c r="L88"/>
  <c r="L84"/>
  <c r="L80"/>
  <c r="L76"/>
  <c r="L72"/>
  <c r="L68"/>
  <c r="L64"/>
  <c r="L60"/>
  <c r="L56"/>
  <c r="L52"/>
  <c r="L48"/>
  <c r="L44"/>
  <c r="L40"/>
  <c r="L36"/>
  <c r="L32"/>
  <c r="L28"/>
  <c r="L24"/>
  <c r="L20"/>
  <c r="L16"/>
  <c r="L12"/>
  <c r="L8"/>
  <c r="L4"/>
  <c r="J141"/>
  <c r="J137"/>
  <c r="J133"/>
  <c r="J129"/>
  <c r="J125"/>
  <c r="J121"/>
  <c r="J117"/>
  <c r="J113"/>
  <c r="J109"/>
  <c r="J105"/>
  <c r="J101"/>
  <c r="J97"/>
  <c r="J93"/>
  <c r="J89"/>
  <c r="J85"/>
  <c r="J81"/>
  <c r="J77"/>
  <c r="J73"/>
  <c r="J69"/>
  <c r="J65"/>
  <c r="J61"/>
  <c r="J57"/>
  <c r="J53"/>
  <c r="J49"/>
  <c r="J45"/>
  <c r="J41"/>
  <c r="J37"/>
  <c r="J33"/>
  <c r="J29"/>
  <c r="J25"/>
  <c r="J21"/>
  <c r="J17"/>
  <c r="J13"/>
  <c r="J9"/>
  <c r="J5"/>
  <c r="K141"/>
  <c r="M141" s="1"/>
  <c r="K137"/>
  <c r="M137" s="1"/>
  <c r="K133"/>
  <c r="K129"/>
  <c r="M129" s="1"/>
  <c r="K125"/>
  <c r="M125" s="1"/>
  <c r="K121"/>
  <c r="K117"/>
  <c r="M117" s="1"/>
  <c r="K113"/>
  <c r="M113" s="1"/>
  <c r="K109"/>
  <c r="K105"/>
  <c r="M105" s="1"/>
  <c r="K101"/>
  <c r="M101" s="1"/>
  <c r="K97"/>
  <c r="K93"/>
  <c r="M93" s="1"/>
  <c r="K89"/>
  <c r="M89" s="1"/>
  <c r="K85"/>
  <c r="K81"/>
  <c r="M81" s="1"/>
  <c r="K77"/>
  <c r="M77" s="1"/>
  <c r="K73"/>
  <c r="K69"/>
  <c r="M69" s="1"/>
  <c r="K65"/>
  <c r="M65" s="1"/>
  <c r="K61"/>
  <c r="K57"/>
  <c r="M57" s="1"/>
  <c r="K53"/>
  <c r="M53" s="1"/>
  <c r="K49"/>
  <c r="K45"/>
  <c r="M45" s="1"/>
  <c r="K41"/>
  <c r="M41" s="1"/>
  <c r="K37"/>
  <c r="K33"/>
  <c r="M33" s="1"/>
  <c r="K29"/>
  <c r="M29" s="1"/>
  <c r="K25"/>
  <c r="K21"/>
  <c r="M21" s="1"/>
  <c r="K17"/>
  <c r="M17" s="1"/>
  <c r="K13"/>
  <c r="K9"/>
  <c r="M9" s="1"/>
  <c r="K5"/>
  <c r="M5" s="1"/>
  <c r="L133"/>
  <c r="L121"/>
  <c r="L109"/>
  <c r="L97"/>
  <c r="L85"/>
  <c r="L73"/>
  <c r="L61"/>
  <c r="L49"/>
  <c r="L37"/>
  <c r="L25"/>
  <c r="L13"/>
  <c r="J142"/>
  <c r="J138"/>
  <c r="J134"/>
  <c r="J130"/>
  <c r="J126"/>
  <c r="J122"/>
  <c r="J118"/>
  <c r="J114"/>
  <c r="J110"/>
  <c r="J106"/>
  <c r="J102"/>
  <c r="J98"/>
  <c r="J94"/>
  <c r="J90"/>
  <c r="J86"/>
  <c r="J82"/>
  <c r="J78"/>
  <c r="J74"/>
  <c r="J70"/>
  <c r="J66"/>
  <c r="J62"/>
  <c r="J58"/>
  <c r="J54"/>
  <c r="J50"/>
  <c r="J46"/>
  <c r="J42"/>
  <c r="J38"/>
  <c r="J34"/>
  <c r="J30"/>
  <c r="J26"/>
  <c r="J22"/>
  <c r="J18"/>
  <c r="J14"/>
  <c r="J10"/>
  <c r="J6"/>
  <c r="K142"/>
  <c r="M142" s="1"/>
  <c r="K138"/>
  <c r="M138" s="1"/>
  <c r="K134"/>
  <c r="K130"/>
  <c r="M130" s="1"/>
  <c r="K126"/>
  <c r="M126" s="1"/>
  <c r="K122"/>
  <c r="K118"/>
  <c r="M118" s="1"/>
  <c r="K114"/>
  <c r="M114" s="1"/>
  <c r="K110"/>
  <c r="K106"/>
  <c r="M106" s="1"/>
  <c r="K102"/>
  <c r="M102" s="1"/>
  <c r="K98"/>
  <c r="K94"/>
  <c r="M94" s="1"/>
  <c r="K90"/>
  <c r="M90" s="1"/>
  <c r="K86"/>
  <c r="K82"/>
  <c r="M82" s="1"/>
  <c r="K78"/>
  <c r="M78" s="1"/>
  <c r="K74"/>
  <c r="K70"/>
  <c r="M70" s="1"/>
  <c r="K66"/>
  <c r="M66" s="1"/>
  <c r="K62"/>
  <c r="K58"/>
  <c r="M58" s="1"/>
  <c r="K54"/>
  <c r="M54" s="1"/>
  <c r="K50"/>
  <c r="K46"/>
  <c r="M46" s="1"/>
  <c r="K42"/>
  <c r="M42" s="1"/>
  <c r="K38"/>
  <c r="K34"/>
  <c r="M34" s="1"/>
  <c r="K30"/>
  <c r="M30" s="1"/>
  <c r="K26"/>
  <c r="K22"/>
  <c r="M22" s="1"/>
  <c r="K18"/>
  <c r="M18" s="1"/>
  <c r="K14"/>
  <c r="K10"/>
  <c r="M10" s="1"/>
  <c r="K6"/>
  <c r="M6" s="1"/>
  <c r="L134"/>
  <c r="L122"/>
  <c r="L110"/>
  <c r="L98"/>
  <c r="L86"/>
  <c r="L74"/>
  <c r="L62"/>
  <c r="L50"/>
  <c r="L38"/>
  <c r="L26"/>
  <c r="L14"/>
  <c r="L2"/>
  <c r="M2" s="1"/>
  <c r="J143"/>
  <c r="J139"/>
  <c r="J135"/>
  <c r="J131"/>
  <c r="J127"/>
  <c r="J123"/>
  <c r="J119"/>
  <c r="J115"/>
  <c r="J111"/>
  <c r="J107"/>
  <c r="J103"/>
  <c r="J99"/>
  <c r="J95"/>
  <c r="J91"/>
  <c r="J87"/>
  <c r="J83"/>
  <c r="J79"/>
  <c r="J75"/>
  <c r="J71"/>
  <c r="J67"/>
  <c r="J63"/>
  <c r="J59"/>
  <c r="J55"/>
  <c r="J51"/>
  <c r="J47"/>
  <c r="J43"/>
  <c r="J39"/>
  <c r="J35"/>
  <c r="J31"/>
  <c r="J27"/>
  <c r="J23"/>
  <c r="J19"/>
  <c r="J15"/>
  <c r="J11"/>
  <c r="J7"/>
  <c r="J3"/>
  <c r="M85" l="1"/>
  <c r="N85" s="1"/>
  <c r="P85" s="1"/>
  <c r="M12"/>
  <c r="N12" s="1"/>
  <c r="P12" s="1"/>
  <c r="M60"/>
  <c r="N60" s="1"/>
  <c r="P60" s="1"/>
  <c r="M108"/>
  <c r="N108" s="1"/>
  <c r="P108" s="1"/>
  <c r="M8"/>
  <c r="N8" s="1"/>
  <c r="P8" s="1"/>
  <c r="M56"/>
  <c r="M104"/>
  <c r="N104" s="1"/>
  <c r="P104" s="1"/>
  <c r="N35"/>
  <c r="P35" s="1"/>
  <c r="N107"/>
  <c r="P107" s="1"/>
  <c r="N58"/>
  <c r="P58" s="1"/>
  <c r="N130"/>
  <c r="P130" s="1"/>
  <c r="N9"/>
  <c r="P9" s="1"/>
  <c r="N81"/>
  <c r="P81" s="1"/>
  <c r="N67"/>
  <c r="P67" s="1"/>
  <c r="N139"/>
  <c r="P139" s="1"/>
  <c r="M26"/>
  <c r="N26" s="1"/>
  <c r="P26" s="1"/>
  <c r="M37"/>
  <c r="N37" s="1"/>
  <c r="P37" s="1"/>
  <c r="M109"/>
  <c r="N109" s="1"/>
  <c r="P109" s="1"/>
  <c r="N29"/>
  <c r="P29" s="1"/>
  <c r="N101"/>
  <c r="P101" s="1"/>
  <c r="N3"/>
  <c r="P3" s="1"/>
  <c r="N75"/>
  <c r="P75" s="1"/>
  <c r="N6"/>
  <c r="P6" s="1"/>
  <c r="N78"/>
  <c r="P78" s="1"/>
  <c r="N23"/>
  <c r="P23" s="1"/>
  <c r="N95"/>
  <c r="P95" s="1"/>
  <c r="N46"/>
  <c r="P46" s="1"/>
  <c r="N118"/>
  <c r="P118" s="1"/>
  <c r="N69"/>
  <c r="P69" s="1"/>
  <c r="N141"/>
  <c r="P141" s="1"/>
  <c r="N55"/>
  <c r="P55" s="1"/>
  <c r="N127"/>
  <c r="P127" s="1"/>
  <c r="M48"/>
  <c r="N48" s="1"/>
  <c r="P48" s="1"/>
  <c r="M96"/>
  <c r="N96" s="1"/>
  <c r="P96" s="1"/>
  <c r="M144"/>
  <c r="N144" s="1"/>
  <c r="P144" s="1"/>
  <c r="N17"/>
  <c r="P17" s="1"/>
  <c r="N89"/>
  <c r="P89" s="1"/>
  <c r="N63"/>
  <c r="P63" s="1"/>
  <c r="N135"/>
  <c r="P135" s="1"/>
  <c r="N66"/>
  <c r="P66" s="1"/>
  <c r="N138"/>
  <c r="P138" s="1"/>
  <c r="M110"/>
  <c r="N110" s="1"/>
  <c r="P110" s="1"/>
  <c r="N11"/>
  <c r="P11" s="1"/>
  <c r="N83"/>
  <c r="P83" s="1"/>
  <c r="N34"/>
  <c r="P34" s="1"/>
  <c r="N106"/>
  <c r="P106" s="1"/>
  <c r="N57"/>
  <c r="P57" s="1"/>
  <c r="N129"/>
  <c r="P129" s="1"/>
  <c r="N43"/>
  <c r="P43" s="1"/>
  <c r="N115"/>
  <c r="P115" s="1"/>
  <c r="N2"/>
  <c r="P2" s="1"/>
  <c r="M14"/>
  <c r="N14" s="1"/>
  <c r="P14" s="1"/>
  <c r="N5"/>
  <c r="P5" s="1"/>
  <c r="N77"/>
  <c r="P77" s="1"/>
  <c r="N51"/>
  <c r="P51" s="1"/>
  <c r="N123"/>
  <c r="P123" s="1"/>
  <c r="N54"/>
  <c r="P54" s="1"/>
  <c r="N126"/>
  <c r="P126" s="1"/>
  <c r="M62"/>
  <c r="N62" s="1"/>
  <c r="P62" s="1"/>
  <c r="M98"/>
  <c r="N98" s="1"/>
  <c r="P98" s="1"/>
  <c r="N71"/>
  <c r="P71" s="1"/>
  <c r="N143"/>
  <c r="P143" s="1"/>
  <c r="N22"/>
  <c r="P22" s="1"/>
  <c r="N94"/>
  <c r="P94" s="1"/>
  <c r="N45"/>
  <c r="P45" s="1"/>
  <c r="N117"/>
  <c r="P117" s="1"/>
  <c r="N31"/>
  <c r="P31" s="1"/>
  <c r="N103"/>
  <c r="P103" s="1"/>
  <c r="M133"/>
  <c r="N133" s="1"/>
  <c r="P133" s="1"/>
  <c r="N65"/>
  <c r="P65" s="1"/>
  <c r="N137"/>
  <c r="P137" s="1"/>
  <c r="N39"/>
  <c r="P39" s="1"/>
  <c r="N111"/>
  <c r="P111" s="1"/>
  <c r="N42"/>
  <c r="P42" s="1"/>
  <c r="N114"/>
  <c r="P114" s="1"/>
  <c r="N59"/>
  <c r="P59" s="1"/>
  <c r="N131"/>
  <c r="P131" s="1"/>
  <c r="N10"/>
  <c r="P10" s="1"/>
  <c r="N82"/>
  <c r="P82" s="1"/>
  <c r="N33"/>
  <c r="P33" s="1"/>
  <c r="N105"/>
  <c r="P105" s="1"/>
  <c r="N56"/>
  <c r="P56" s="1"/>
  <c r="N19"/>
  <c r="P19" s="1"/>
  <c r="N91"/>
  <c r="P91" s="1"/>
  <c r="N53"/>
  <c r="P53" s="1"/>
  <c r="N125"/>
  <c r="P125" s="1"/>
  <c r="N27"/>
  <c r="P27" s="1"/>
  <c r="N99"/>
  <c r="P99" s="1"/>
  <c r="N30"/>
  <c r="P30" s="1"/>
  <c r="N102"/>
  <c r="P102" s="1"/>
  <c r="N47"/>
  <c r="P47" s="1"/>
  <c r="N119"/>
  <c r="P119" s="1"/>
  <c r="N70"/>
  <c r="P70" s="1"/>
  <c r="N142"/>
  <c r="P142" s="1"/>
  <c r="N21"/>
  <c r="P21" s="1"/>
  <c r="N93"/>
  <c r="P93" s="1"/>
  <c r="N7"/>
  <c r="P7" s="1"/>
  <c r="N79"/>
  <c r="P79" s="1"/>
  <c r="M16"/>
  <c r="N16" s="1"/>
  <c r="P16" s="1"/>
  <c r="M64"/>
  <c r="N64" s="1"/>
  <c r="P64" s="1"/>
  <c r="M112"/>
  <c r="N112" s="1"/>
  <c r="P112" s="1"/>
  <c r="N41"/>
  <c r="P41" s="1"/>
  <c r="N113"/>
  <c r="P113" s="1"/>
  <c r="N15"/>
  <c r="P15" s="1"/>
  <c r="N87"/>
  <c r="P87" s="1"/>
  <c r="N18"/>
  <c r="P18" s="1"/>
  <c r="N90"/>
  <c r="P90" s="1"/>
  <c r="M4"/>
  <c r="N4" s="1"/>
  <c r="P4" s="1"/>
  <c r="M52"/>
  <c r="N52" s="1"/>
  <c r="P52" s="1"/>
  <c r="M100"/>
  <c r="N100" s="1"/>
  <c r="P100" s="1"/>
  <c r="M50"/>
  <c r="N50" s="1"/>
  <c r="P50" s="1"/>
  <c r="M25"/>
  <c r="N25" s="1"/>
  <c r="P25" s="1"/>
  <c r="M73"/>
  <c r="N73" s="1"/>
  <c r="P73" s="1"/>
  <c r="M121"/>
  <c r="N121" s="1"/>
  <c r="P121" s="1"/>
  <c r="M44"/>
  <c r="N44" s="1"/>
  <c r="P44" s="1"/>
  <c r="M92"/>
  <c r="N92" s="1"/>
  <c r="P92" s="1"/>
  <c r="M140"/>
  <c r="N140" s="1"/>
  <c r="P140" s="1"/>
  <c r="M40"/>
  <c r="N40" s="1"/>
  <c r="P40" s="1"/>
  <c r="M88"/>
  <c r="N88" s="1"/>
  <c r="P88" s="1"/>
  <c r="M136"/>
  <c r="N136" s="1"/>
  <c r="P136" s="1"/>
  <c r="M38"/>
  <c r="N38" s="1"/>
  <c r="P38" s="1"/>
  <c r="M86"/>
  <c r="N86" s="1"/>
  <c r="P86" s="1"/>
  <c r="M134"/>
  <c r="N134" s="1"/>
  <c r="P134" s="1"/>
  <c r="M36"/>
  <c r="N36" s="1"/>
  <c r="P36" s="1"/>
  <c r="M84"/>
  <c r="N84" s="1"/>
  <c r="P84" s="1"/>
  <c r="M132"/>
  <c r="N132" s="1"/>
  <c r="P132" s="1"/>
  <c r="M13"/>
  <c r="N13" s="1"/>
  <c r="P13" s="1"/>
  <c r="M61"/>
  <c r="N61" s="1"/>
  <c r="P61" s="1"/>
  <c r="M32"/>
  <c r="N32" s="1"/>
  <c r="P32" s="1"/>
  <c r="M80"/>
  <c r="N80" s="1"/>
  <c r="P80" s="1"/>
  <c r="M128"/>
  <c r="N128" s="1"/>
  <c r="P128" s="1"/>
  <c r="M76"/>
  <c r="N76" s="1"/>
  <c r="P76" s="1"/>
  <c r="M28"/>
  <c r="N28" s="1"/>
  <c r="P28" s="1"/>
  <c r="M74"/>
  <c r="N74" s="1"/>
  <c r="P74" s="1"/>
  <c r="M122"/>
  <c r="N122" s="1"/>
  <c r="P122" s="1"/>
  <c r="M24"/>
  <c r="N24" s="1"/>
  <c r="P24" s="1"/>
  <c r="M72"/>
  <c r="N72" s="1"/>
  <c r="P72" s="1"/>
  <c r="M120"/>
  <c r="N120" s="1"/>
  <c r="P120" s="1"/>
  <c r="M124"/>
  <c r="N124" s="1"/>
  <c r="P124" s="1"/>
  <c r="M49"/>
  <c r="N49" s="1"/>
  <c r="P49" s="1"/>
  <c r="M97"/>
  <c r="N97" s="1"/>
  <c r="P97" s="1"/>
  <c r="M20"/>
  <c r="N20" s="1"/>
  <c r="P20" s="1"/>
  <c r="M68"/>
  <c r="N68" s="1"/>
  <c r="P68" s="1"/>
  <c r="M116"/>
  <c r="N116" s="1"/>
  <c r="P116" s="1"/>
</calcChain>
</file>

<file path=xl/sharedStrings.xml><?xml version="1.0" encoding="utf-8"?>
<sst xmlns="http://schemas.openxmlformats.org/spreadsheetml/2006/main" count="1816" uniqueCount="811">
  <si>
    <t>Emp ID</t>
  </si>
  <si>
    <t>Name</t>
  </si>
  <si>
    <t>Designation</t>
  </si>
  <si>
    <t>Department</t>
  </si>
  <si>
    <t>Working Days</t>
  </si>
  <si>
    <t>Present</t>
  </si>
  <si>
    <t>Absent</t>
  </si>
  <si>
    <t>late_flags</t>
  </si>
  <si>
    <t>early_flags</t>
  </si>
  <si>
    <t>half_day_flags</t>
  </si>
  <si>
    <t>actual_AM_abs</t>
  </si>
  <si>
    <t>actual_PM_abs</t>
  </si>
  <si>
    <t>actual_days_abs</t>
  </si>
  <si>
    <t>actual_No_of_late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</si>
  <si>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</si>
  <si>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</si>
  <si>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</si>
  <si>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</si>
  <si>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</si>
  <si>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</si>
  <si>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</si>
  <si>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</si>
  <si>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</si>
  <si>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</si>
  <si>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</si>
  <si>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</si>
  <si>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</si>
  <si>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</si>
  <si>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</si>
  <si>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</si>
  <si>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</si>
  <si>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</si>
  <si>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</si>
  <si>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</si>
  <si>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</si>
  <si>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</si>
  <si>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</si>
  <si>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</si>
  <si>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</si>
  <si>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</si>
  <si>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</si>
  <si>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</si>
  <si>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</si>
  <si>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</si>
  <si>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</si>
  <si>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</si>
  <si>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</si>
  <si>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</si>
  <si>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</si>
  <si>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</si>
  <si>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</si>
  <si>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</si>
  <si>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</si>
  <si>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</si>
  <si>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</si>
  <si>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</si>
  <si>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</si>
  <si>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</si>
  <si>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</si>
  <si>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</si>
  <si>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</si>
  <si>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</si>
  <si>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</si>
  <si>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</si>
  <si>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</si>
  <si>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</si>
  <si>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</si>
  <si>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</si>
  <si>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</si>
  <si>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</si>
  <si>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</si>
  <si>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</si>
  <si>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</si>
  <si>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</si>
  <si>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</si>
  <si>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</si>
  <si>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</si>
  <si>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</si>
  <si>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</si>
  <si>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</si>
  <si>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</si>
  <si>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</si>
  <si>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</si>
  <si>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</si>
  <si>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</si>
  <si>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</si>
  <si>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</si>
  <si>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</si>
  <si>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</si>
  <si>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</si>
  <si>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</si>
  <si>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</si>
  <si>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</si>
  <si>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</si>
  <si>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</si>
  <si>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</si>
  <si>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</si>
  <si>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</si>
  <si>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</si>
  <si>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</si>
  <si>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</si>
  <si>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</si>
  <si>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</si>
  <si>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</si>
  <si>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GCU020178</t>
  </si>
  <si>
    <t>GCU020179</t>
  </si>
  <si>
    <t>GCU020182</t>
  </si>
  <si>
    <t>GCU030018</t>
  </si>
  <si>
    <t>GCU030032</t>
  </si>
  <si>
    <t>GCU030037</t>
  </si>
  <si>
    <t>GCU030041</t>
  </si>
  <si>
    <t>GCU030049</t>
  </si>
  <si>
    <t>GCU030069</t>
  </si>
  <si>
    <t>GCU030106</t>
  </si>
  <si>
    <t>GCU030118</t>
  </si>
  <si>
    <t>GCU030129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</si>
  <si>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</si>
  <si>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</si>
  <si>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</si>
  <si>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</si>
  <si>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</si>
  <si>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</si>
  <si>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</si>
  <si>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</si>
  <si>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</si>
  <si>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</si>
  <si>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</si>
  <si>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</si>
  <si>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</si>
  <si>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</si>
  <si>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</si>
  <si>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</si>
  <si>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</si>
  <si>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</si>
  <si>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</si>
  <si>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</si>
  <si>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</si>
  <si>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</si>
  <si>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</si>
  <si>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</si>
  <si>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</si>
  <si>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</si>
  <si>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</si>
  <si>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</si>
  <si>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</si>
  <si>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</si>
  <si>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</si>
  <si>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GCU020156</t>
  </si>
  <si>
    <t>GCU030034</t>
  </si>
  <si>
    <t>GCU030161</t>
  </si>
  <si>
    <t>GCU030173</t>
  </si>
  <si>
    <t>GCU030187</t>
  </si>
  <si>
    <t>-</t>
  </si>
  <si>
    <t>Lab Instructor</t>
  </si>
  <si>
    <t>Administration</t>
  </si>
  <si>
    <t>Admin Non Teaching</t>
  </si>
  <si>
    <t>['8_28']</t>
  </si>
  <si>
    <t>['8_27']</t>
  </si>
  <si>
    <t>[]</t>
  </si>
  <si>
    <t>['9_03']</t>
  </si>
  <si>
    <t>['8_27', '9_01']</t>
  </si>
  <si>
    <t>['8_26', '8_27']</t>
  </si>
  <si>
    <t>['9_05']</t>
  </si>
  <si>
    <t>['9_12']</t>
  </si>
  <si>
    <t>['9_16']</t>
  </si>
  <si>
    <t>['9_02']</t>
  </si>
  <si>
    <t>['9_08']</t>
  </si>
  <si>
    <t>['9_15']</t>
  </si>
  <si>
    <t>['8_30']</t>
  </si>
  <si>
    <t>['9_10']</t>
  </si>
  <si>
    <t>['9_13']</t>
  </si>
  <si>
    <t>['9_09']</t>
  </si>
  <si>
    <t>['9_01']</t>
  </si>
  <si>
    <t>['9_19']</t>
  </si>
  <si>
    <t>['8_26']</t>
  </si>
  <si>
    <t>['8_29']</t>
  </si>
  <si>
    <t>['9_18']</t>
  </si>
  <si>
    <t>exempt_late</t>
  </si>
  <si>
    <t>exempt_half_day</t>
  </si>
  <si>
    <t>exempt_full_day</t>
  </si>
  <si>
    <t>GCU020040</t>
  </si>
  <si>
    <t>GCU020041</t>
  </si>
  <si>
    <t>GCU020042</t>
  </si>
  <si>
    <t>GCU020048</t>
  </si>
  <si>
    <t>GCU020052</t>
  </si>
  <si>
    <t>GCU020089</t>
  </si>
  <si>
    <t>GCU020094</t>
  </si>
  <si>
    <t>GCU020102</t>
  </si>
  <si>
    <t>GCU020105</t>
  </si>
  <si>
    <t>GCU020107</t>
  </si>
  <si>
    <t>GCU020113</t>
  </si>
  <si>
    <t>GCU020117</t>
  </si>
  <si>
    <t>GCU020121</t>
  </si>
  <si>
    <t>GCU020131</t>
  </si>
  <si>
    <t>GCU020132</t>
  </si>
  <si>
    <t>GCU020135</t>
  </si>
  <si>
    <t>GCU010034</t>
  </si>
  <si>
    <t>GCU010033</t>
  </si>
  <si>
    <t>GCU030114</t>
  </si>
  <si>
    <t>GCU010012</t>
  </si>
  <si>
    <t>GCU010043</t>
  </si>
  <si>
    <t>GCU010044</t>
  </si>
  <si>
    <t>GCU010024</t>
  </si>
  <si>
    <t>GCU030104</t>
  </si>
  <si>
    <t>GCU020123</t>
  </si>
  <si>
    <t>GCU020137</t>
  </si>
  <si>
    <t>GCU020140</t>
  </si>
  <si>
    <t>GCU010036</t>
  </si>
  <si>
    <t>GCU010039</t>
  </si>
  <si>
    <t>GCU030060</t>
  </si>
  <si>
    <t>GCU010040</t>
  </si>
  <si>
    <t>GCU030066</t>
  </si>
  <si>
    <t>GCU030075</t>
  </si>
  <si>
    <t>GCU010025</t>
  </si>
  <si>
    <t>GCU030055</t>
  </si>
  <si>
    <t>GCU030086</t>
  </si>
  <si>
    <t>GCU030099</t>
  </si>
  <si>
    <t>GCU030142</t>
  </si>
  <si>
    <t>GCU010037</t>
  </si>
  <si>
    <t>GCU030008</t>
  </si>
  <si>
    <t>GCU030113</t>
  </si>
  <si>
    <t>GCU030009</t>
  </si>
  <si>
    <t>GCU030140</t>
  </si>
  <si>
    <t>GCU030087</t>
  </si>
  <si>
    <t>GCU030171</t>
  </si>
  <si>
    <t>GCU030128</t>
  </si>
  <si>
    <t>GCU030169</t>
  </si>
  <si>
    <t>GCU030168</t>
  </si>
  <si>
    <t>GCU030175</t>
  </si>
  <si>
    <t>GCU030051</t>
  </si>
  <si>
    <t>GCU030145</t>
  </si>
  <si>
    <t>GCU010005</t>
  </si>
  <si>
    <t>GCU030107</t>
  </si>
  <si>
    <t>GCU030010</t>
  </si>
  <si>
    <t>GCU030053</t>
  </si>
  <si>
    <t>GCU030031</t>
  </si>
  <si>
    <t>Total WD leaves</t>
  </si>
  <si>
    <t>Corrected EOL</t>
  </si>
  <si>
    <t>GCU030110</t>
  </si>
  <si>
    <t>GCU020127</t>
  </si>
  <si>
    <t>GCU030072</t>
  </si>
  <si>
    <t>GCU030068</t>
  </si>
  <si>
    <t>GCU030125</t>
  </si>
  <si>
    <t>GCU020104</t>
  </si>
  <si>
    <t>GCU020103</t>
  </si>
  <si>
    <t>GCU030092</t>
  </si>
  <si>
    <t>GCU030073</t>
  </si>
  <si>
    <t>GCU030122</t>
  </si>
  <si>
    <t>GCU030148</t>
  </si>
  <si>
    <t>GCU030179</t>
  </si>
  <si>
    <t>GCU030165</t>
  </si>
  <si>
    <t>T02</t>
  </si>
  <si>
    <t>GCU030115</t>
  </si>
  <si>
    <t>GCU030181</t>
  </si>
  <si>
    <t>GCU030027</t>
  </si>
  <si>
    <t>GCU020081</t>
  </si>
  <si>
    <t>GCU030111</t>
  </si>
  <si>
    <t>GCU030028</t>
  </si>
  <si>
    <t>GCU010042</t>
  </si>
  <si>
    <t>GCU030185</t>
  </si>
  <si>
    <t>GCU030022</t>
  </si>
  <si>
    <t>GCU030021</t>
  </si>
  <si>
    <t>GCU030081</t>
  </si>
  <si>
    <t>GCU020126</t>
  </si>
  <si>
    <t>GCU030017</t>
  </si>
  <si>
    <t>GCU020084</t>
  </si>
  <si>
    <t>GCU020085</t>
  </si>
  <si>
    <t>GCU030084</t>
  </si>
  <si>
    <t>GCU010038</t>
  </si>
  <si>
    <t>GCU030157</t>
  </si>
  <si>
    <t>GCU020005</t>
  </si>
  <si>
    <t>GCU030163</t>
  </si>
  <si>
    <t>GCU030151</t>
  </si>
  <si>
    <t>GCU030029</t>
  </si>
  <si>
    <t>GCU030126</t>
  </si>
  <si>
    <t>GCU030065</t>
  </si>
  <si>
    <t>GCU030109</t>
  </si>
  <si>
    <t>GCU030011</t>
  </si>
  <si>
    <t>GCU030064</t>
  </si>
  <si>
    <t>GCU030186</t>
  </si>
  <si>
    <t>GCU030134</t>
  </si>
  <si>
    <t>GCU030123</t>
  </si>
  <si>
    <t>GCU030050</t>
  </si>
  <si>
    <t>GCU020071</t>
  </si>
  <si>
    <t>GCU030016</t>
  </si>
  <si>
    <t>GCU030077</t>
  </si>
  <si>
    <t>GCU030155</t>
  </si>
  <si>
    <t>GCU030130</t>
  </si>
  <si>
    <t>GCU030096</t>
  </si>
  <si>
    <t>GCU030094</t>
  </si>
  <si>
    <t>GCU030120</t>
  </si>
  <si>
    <t>GCU030164</t>
  </si>
  <si>
    <t>GCU030023</t>
  </si>
  <si>
    <t>GCU030082</t>
  </si>
  <si>
    <t>GCU030036</t>
  </si>
  <si>
    <t>GCU030088</t>
  </si>
  <si>
    <t>GCU030005</t>
  </si>
  <si>
    <t>GCU030153</t>
  </si>
  <si>
    <t>GCU030059</t>
  </si>
  <si>
    <t>GCU030044</t>
  </si>
  <si>
    <t>GCU010026</t>
  </si>
  <si>
    <t>GCU030116</t>
  </si>
  <si>
    <t>GCU030150</t>
  </si>
  <si>
    <t>GCU030085</t>
  </si>
  <si>
    <t>GCU030035</t>
  </si>
  <si>
    <t>GCU030156</t>
  </si>
  <si>
    <t>GCU030108</t>
  </si>
  <si>
    <t>GCU030105</t>
  </si>
  <si>
    <t>GCU030033</t>
  </si>
  <si>
    <t>GCU030178</t>
  </si>
  <si>
    <t>GCU030067</t>
  </si>
  <si>
    <t>GCU030007</t>
  </si>
  <si>
    <t>GCU030030</t>
  </si>
  <si>
    <t>GCU030015</t>
  </si>
  <si>
    <t>GCU030074</t>
  </si>
  <si>
    <t>GCU030166</t>
  </si>
  <si>
    <t>GCU030047</t>
  </si>
  <si>
    <t>GCU030001</t>
  </si>
  <si>
    <t>Late</t>
  </si>
  <si>
    <t>exempted</t>
  </si>
  <si>
    <t>Absent-exempted</t>
  </si>
  <si>
    <t xml:space="preserve">ERP Leave </t>
  </si>
  <si>
    <t>Unauthorise leave</t>
  </si>
  <si>
    <t>GCU010004</t>
  </si>
  <si>
    <t>Kishore Kumar Choudhury</t>
  </si>
  <si>
    <t>['8_28', '8_29', '8_30', '9_02', '9_03', '9_05', '9_08', '9_09', '9_10', '9_11', '9_12', '9_15', '9_18', '9_19']</t>
  </si>
  <si>
    <t>['8_26', '8_27', '8_28', '8_29', '9_01', '9_02', '9_04', '9_08', '9_10', '9_11', '9_12', '9_15', '9_18']</t>
  </si>
  <si>
    <t>['9_11', '8_26', '9_10', '9_18', '9_01', '9_15', '9_02', '9_04', '8_27', '8_29', '8_28', '9_12']</t>
  </si>
  <si>
    <t>['9_06', '8_31', '9_07', '9_14', '9_17', '9_16', '9_20']</t>
  </si>
  <si>
    <t>Dwipen  Das</t>
  </si>
  <si>
    <t>['8_30', '9_02', '9_04', '9_09', '9_12', '9_15', '9_17', '9_19']</t>
  </si>
  <si>
    <t>['9_17']</t>
  </si>
  <si>
    <t>['9_17', '9_17']</t>
  </si>
  <si>
    <t>['9_06', '8_31', '9_07', '9_14', '9_17', '9_20']</t>
  </si>
  <si>
    <t>GCU010011</t>
  </si>
  <si>
    <t>Nripen Chandra Barman</t>
  </si>
  <si>
    <t>Sourobh Mazinder Barua</t>
  </si>
  <si>
    <t>Mridul  Das</t>
  </si>
  <si>
    <t>Arup Kumar Das</t>
  </si>
  <si>
    <t>Biraj Kr. Borgohain</t>
  </si>
  <si>
    <t>['8_26', '8_27', '8_28', '8_29', '8_30', '9_01', '9_02', '9_03', '9_04', '9_05', '9_09', '9_10', '9_11', '9_12', '9_13', '9_15', '9_16', '9_18', '9_19']</t>
  </si>
  <si>
    <t>['9_06', '8_31', '9_07', '9_14', '9_17', '9_08', '9_20']</t>
  </si>
  <si>
    <t>Parash Kumar Das</t>
  </si>
  <si>
    <t>Lab assistant</t>
  </si>
  <si>
    <t>['8_30', '9_02', '9_10', '9_18']</t>
  </si>
  <si>
    <t>['9_06', '8_31', '9_07', '9_14', '9_17', '9_20', '8_27', '8_28']</t>
  </si>
  <si>
    <t>Manish  Das</t>
  </si>
  <si>
    <t>['9_11', '9_18']</t>
  </si>
  <si>
    <t>Pranjeet  Das</t>
  </si>
  <si>
    <t>['8_27', '9_09', '9_10', '9_11', '9_15', '9_16']</t>
  </si>
  <si>
    <t>ANUJ  MEDHI</t>
  </si>
  <si>
    <t>['8_27', '9_19']</t>
  </si>
  <si>
    <t>Nayanjyoti  Baruah</t>
  </si>
  <si>
    <t>['8_27', '8_29', '9_02', '9_04', '9_16', '9_19']</t>
  </si>
  <si>
    <t>['9_06', '8_31', '9_07', '9_14', '9_17', '9_20', '9_01']</t>
  </si>
  <si>
    <t>Babita  Baishya</t>
  </si>
  <si>
    <t>['8_26', '9_02', '9_03', '9_10', '9_12']</t>
  </si>
  <si>
    <t>['8_26', '9_12']</t>
  </si>
  <si>
    <t>Banajit  Nath</t>
  </si>
  <si>
    <t>['8_28', '8_29', '8_30', '9_03', '9_04', '9_08', '9_10', '9_12', '9_15', '9_16', '9_18', '9_19']</t>
  </si>
  <si>
    <t>['9_06', '8_31', '9_07', '9_14', '9_17', '9_02', '9_20']</t>
  </si>
  <si>
    <t>ANJAN  DEKA</t>
  </si>
  <si>
    <t>Papari  Das</t>
  </si>
  <si>
    <t>['9_06', '8_26', '8_31', '9_07', '9_14', '9_17', '9_20', '8_27', '8_29', '8_28', '8_30']</t>
  </si>
  <si>
    <t>Angkesh Sarma Bordoloi</t>
  </si>
  <si>
    <t>['9_06', '8_31', '9_07', '9_14', '9_17', '9_08', '9_20', '9_19']</t>
  </si>
  <si>
    <t>Sakina Bibi</t>
  </si>
  <si>
    <t>Cleaner</t>
  </si>
  <si>
    <t>['9_06', '8_31', '9_07', '9_14', '9_08', '9_20']</t>
  </si>
  <si>
    <t>GCU030002</t>
  </si>
  <si>
    <t>Rehena Bibi</t>
  </si>
  <si>
    <t>['9_14']</t>
  </si>
  <si>
    <t>['8_31', '9_07', '9_14']</t>
  </si>
  <si>
    <t>['9_14', '8_31', '9_07']</t>
  </si>
  <si>
    <t>GCU030003</t>
  </si>
  <si>
    <t>Iaja Bibi</t>
  </si>
  <si>
    <t>GCU030004</t>
  </si>
  <si>
    <t>Nur Islam Ali Islam Ali</t>
  </si>
  <si>
    <t>Non Teaching</t>
  </si>
  <si>
    <t>['9_06', '8_31', '9_07', '9_14', '9_20']</t>
  </si>
  <si>
    <t>Bhadreswar Das</t>
  </si>
  <si>
    <t>Security Guard</t>
  </si>
  <si>
    <t>['8_31', '9_14']</t>
  </si>
  <si>
    <t>['8_30', '9_01', '9_06', '9_08', '9_13', '9_15', '9_20']</t>
  </si>
  <si>
    <t>['8_30', '8_31', '9_01', '9_02', '9_06', '9_07', '9_08', '9_11', '9_13', '9_14', '9_15', '9_17', '9_20']</t>
  </si>
  <si>
    <t>['9_11', '8_31', '9_07', '9_14', '9_17', '9_02']</t>
  </si>
  <si>
    <t>['9_06', '9_13', '9_08', '9_15', '9_20', '9_01', '8_30']</t>
  </si>
  <si>
    <t>['9_09', '9_10', '9_16']</t>
  </si>
  <si>
    <t>Biren Das</t>
  </si>
  <si>
    <t>['9_06', '8_31', '9_07', '9_18', '9_14', '9_20', '9_19']</t>
  </si>
  <si>
    <t>Santosh Das</t>
  </si>
  <si>
    <t>['9_06', '9_11', '9_13', '8_31', '9_07', '9_14', '9_02', '9_17', '9_20', '8_27', '9_12']</t>
  </si>
  <si>
    <t>Rupa Das</t>
  </si>
  <si>
    <t>['8_26', '8_27', '8_28', '8_29', '9_01', '9_02', '9_03', '9_04', '9_05', '9_08', '9_09', '9_10', '9_11', '9_12', '9_13', '9_15', '9_16', '9_17', '9_18', '9_19']</t>
  </si>
  <si>
    <t>['9_09', '9_17']</t>
  </si>
  <si>
    <t>Nabami Das Baruah</t>
  </si>
  <si>
    <t>['9_06', '8_31', '9_07', '9_14', '9_17', '9_20', '9_19']</t>
  </si>
  <si>
    <t>Nitul Das</t>
  </si>
  <si>
    <t>['9_06', '8_31', '9_07', '9_14', '9_17', '9_20', '9_03']</t>
  </si>
  <si>
    <t>GCU030012</t>
  </si>
  <si>
    <t>Saraswati Das Patowary</t>
  </si>
  <si>
    <t>['9_03', '9_12', '9_13']</t>
  </si>
  <si>
    <t>['9_06', '8_26', '8_31', '9_07', '9_14', '9_17', '9_20', '8_27']</t>
  </si>
  <si>
    <t>GCU030013</t>
  </si>
  <si>
    <t>Jiban Kalita</t>
  </si>
  <si>
    <t>Driver</t>
  </si>
  <si>
    <t>['8_26', '8_27', '8_28', '8_30', '9_02', '9_03', '9_04', '9_05', '9_08', '9_09', '9_10', '9_11', '9_12', '9_13', '9_15', '9_16', '9_18', '9_19']</t>
  </si>
  <si>
    <t>['8_27', '9_16']</t>
  </si>
  <si>
    <t>['9_11', '9_13', '8_26', '9_10', '9_18', '9_03', '9_08', '9_05', '9_15', '9_02', '9_04', '9_09', '8_28', '8_30', '9_12', '9_19']</t>
  </si>
  <si>
    <t>['9_06', '8_31', '9_07', '9_14', '9_17', '9_01', '9_20', '8_29']</t>
  </si>
  <si>
    <t>Soneswar Kalita</t>
  </si>
  <si>
    <t>Bijuli Das</t>
  </si>
  <si>
    <t>['9_06', '8_31', '9_07', '9_14', '9_20', '9_03']</t>
  </si>
  <si>
    <t>Hanif Ali</t>
  </si>
  <si>
    <t>['9_06', '9_10', '9_14', '9_20']</t>
  </si>
  <si>
    <t>['8_28', '9_01', '9_04', '9_08', '9_09', '9_11', '9_15', '9_18']</t>
  </si>
  <si>
    <t>['8_26', '8_28', '9_01', '9_02', '9_04', '9_06', '9_08', '9_09', '9_10', '9_11', '9_14', '9_15', '9_16', '9_18', '9_20']</t>
  </si>
  <si>
    <t>['9_06', '8_26', '9_10', '9_14', '9_16', '9_02', '9_20']</t>
  </si>
  <si>
    <t>['9_11', '9_18', '9_08', '9_01', '9_15', '9_04', '9_09', '8_28']</t>
  </si>
  <si>
    <t>['9_13', '9_07', '9_05', '8_29', '9_12', '9_19']</t>
  </si>
  <si>
    <t>GCU030019</t>
  </si>
  <si>
    <t>Gitanjali Das</t>
  </si>
  <si>
    <t>['9_06', '9_11', '9_13', '8_31', '9_07', '9_10', '9_18', '9_14', '9_17', '9_08', '9_15', '9_16', '9_20', '9_09', '9_12', '9_19']</t>
  </si>
  <si>
    <t>GCU030020</t>
  </si>
  <si>
    <t>Julo Bibi</t>
  </si>
  <si>
    <t>['9_06', '8_31', '9_07', '9_14', '9_20', '8_27']</t>
  </si>
  <si>
    <t>Rahijan Bibi</t>
  </si>
  <si>
    <t>['8_28', '9_17']</t>
  </si>
  <si>
    <t>Runu Das</t>
  </si>
  <si>
    <t>['9_08', '9_17']</t>
  </si>
  <si>
    <t>['9_06', '8_31', '9_07', '9_14', '9_20', '8_28']</t>
  </si>
  <si>
    <t>Tahik Ali</t>
  </si>
  <si>
    <t>['8_26', '9_02', '9_09', '9_16']</t>
  </si>
  <si>
    <t>['8_26', '8_27', '9_02', '9_03', '9_04', '9_05', '9_08', '9_09', '9_11', '9_12', '9_14', '9_16', '9_17', '9_19', '9_20']</t>
  </si>
  <si>
    <t>['9_11', '9_14', '9_17', '9_05', '9_20', '8_27', '9_03', '9_12']</t>
  </si>
  <si>
    <t>['8_26', '9_08', '9_16', '9_02', '9_04', '9_09', '9_19']</t>
  </si>
  <si>
    <t>GCU030024</t>
  </si>
  <si>
    <t>Kamrup Das</t>
  </si>
  <si>
    <t>['8_26', '8_30', '9_02', '9_09', '9_13', '9_16', '9_20']</t>
  </si>
  <si>
    <t>['8_26', '8_27', '8_30', '8_31', '9_02', '9_03', '9_07', '9_09', '9_10', '9_13', '9_14', '9_16', '9_17', '9_20']</t>
  </si>
  <si>
    <t>['8_31', '9_07', '9_10', '9_14', '9_17', '8_27', '9_03']</t>
  </si>
  <si>
    <t>['9_13', '8_26', '9_16', '9_02', '9_20', '9_09', '8_30']</t>
  </si>
  <si>
    <t>['9_06']</t>
  </si>
  <si>
    <t>GCU030025</t>
  </si>
  <si>
    <t>Latif Ali</t>
  </si>
  <si>
    <t>['8_26', '8_27', '8_28', '8_29', '8_30', '9_01', '9_03', '9_04', '9_05', '9_09', '9_10', '9_12', '9_13', '9_15', '9_18', '9_19']</t>
  </si>
  <si>
    <t>['9_13', '8_26', '9_10', '8_29', '9_09', '9_18', '9_03', '9_05', '9_15', '9_04', '8_27', '9_01', '8_28', '8_30', '9_12', '9_19']</t>
  </si>
  <si>
    <t>GCU030026</t>
  </si>
  <si>
    <t>Bikash Singh</t>
  </si>
  <si>
    <t>['9_06', '8_31', '9_05', '8_30', '9_10', '9_07', '9_14', '9_02', '9_20', '8_27', '8_29', '9_01', '8_28', '9_08', '9_16', '9_09', '9_19', '9_11', '8_26', '9_18', '9_17', '9_15', '9_04', '9_03', '9_12']</t>
  </si>
  <si>
    <t>Jibeswar Thakuria</t>
  </si>
  <si>
    <t>['9_06', '8_31', '9_07', '9_14', '9_17', '9_20', '8_29']</t>
  </si>
  <si>
    <t>Isha Haque Ali</t>
  </si>
  <si>
    <t>['9_06', '9_13', '8_31', '9_07', '9_14', '9_17', '9_08', '9_20', '8_30']</t>
  </si>
  <si>
    <t>Gita Das</t>
  </si>
  <si>
    <t>['9_06', '8_31', '9_07', '9_14', '9_02', '9_20']</t>
  </si>
  <si>
    <t>Noni Das</t>
  </si>
  <si>
    <t>['9_06', '9_13', '8_31', '9_07', '9_14', '9_20']</t>
  </si>
  <si>
    <t>Tridib Roy</t>
  </si>
  <si>
    <t>['9_06', '9_10', '8_31', '9_07', '9_14', '9_03', '9_17', '9_08', '9_05', '9_02', '9_04', '9_20', '9_09']</t>
  </si>
  <si>
    <t>Deepa Das Talukdar</t>
  </si>
  <si>
    <t>['8_27', '8_28', '9_05', '9_16']</t>
  </si>
  <si>
    <t>['9_06', '8_31', '9_18', '9_07', '9_14', '9_17', '9_20', '9_19']</t>
  </si>
  <si>
    <t>Ritu Raj Phukan</t>
  </si>
  <si>
    <t>['8_26', '8_27', '8_28', '8_29', '8_30', '9_04', '9_15', '9_16', '9_18', '9_19']</t>
  </si>
  <si>
    <t>['8_26', '9_18', '9_15', '9_16', '9_04', '8_27', '8_29', '8_28', '8_30', '9_19']</t>
  </si>
  <si>
    <t>['9_06', '8_31', '9_07', '9_14', '9_17', '9_20', '9_12']</t>
  </si>
  <si>
    <t>Amrit Talukdar</t>
  </si>
  <si>
    <t>['8_27', '8_28', '9_03', '9_05', '9_16', '9_18']</t>
  </si>
  <si>
    <t>['9_06', '8_31', '9_07', '9_14', '9_17', '9_20', '9_04']</t>
  </si>
  <si>
    <t>GCU030038</t>
  </si>
  <si>
    <t>Sajida Bibi</t>
  </si>
  <si>
    <t>GCU030039</t>
  </si>
  <si>
    <t>Merina Bibi</t>
  </si>
  <si>
    <t>['8_31', '9_06', '9_14', '9_20']</t>
  </si>
  <si>
    <t>['9_14', '9_17']</t>
  </si>
  <si>
    <t>['8_29', '9_07', '9_08', '9_09', '9_12', '9_19']</t>
  </si>
  <si>
    <t>GCU030043</t>
  </si>
  <si>
    <t>Mantu Saikia</t>
  </si>
  <si>
    <t>Jyotish Deka</t>
  </si>
  <si>
    <t>['8_26', '8_27', '8_28', '8_29', '9_01']</t>
  </si>
  <si>
    <t>['8_26', '8_27', '8_28', '8_30', '9_01', '9_02', '9_03', '9_04', '9_05', '9_08', '9_09', '9_10', '9_11', '9_12', '9_13', '9_18', '9_19']</t>
  </si>
  <si>
    <t>['9_11', '9_13', '8_26', '9_10', '9_09', '9_18', '9_03', '9_08', '9_05', '9_02', '9_04', '8_27', '9_01', '8_28', '8_30', '9_12', '9_19']</t>
  </si>
  <si>
    <t>['9_06', '8_31', '9_07', '9_14', '9_17', '9_15', '9_16', '9_20']</t>
  </si>
  <si>
    <t>Juna Begum</t>
  </si>
  <si>
    <t>['9_06', '9_13', '8_31', '9_07', '9_14', '9_20', '9_12']</t>
  </si>
  <si>
    <t>GCU030048</t>
  </si>
  <si>
    <t>Sabitri Das</t>
  </si>
  <si>
    <t>['9_14', '9_20']</t>
  </si>
  <si>
    <t>['9_06', '9_14', '9_20']</t>
  </si>
  <si>
    <t>['8_31', '9_07']</t>
  </si>
  <si>
    <t>['9_10', '9_17', '9_16', '8_27', '9_03']</t>
  </si>
  <si>
    <t>Hari Das</t>
  </si>
  <si>
    <t>Prakash Talukdar</t>
  </si>
  <si>
    <t>['9_06', '8_31', '9_07', '9_14', '9_17', '9_20', '8_27', '8_28', '9_12']</t>
  </si>
  <si>
    <t>GCU030052</t>
  </si>
  <si>
    <t>Indreswar Baishya</t>
  </si>
  <si>
    <t>Sikha Rani Das</t>
  </si>
  <si>
    <t>['9_06', '9_11', '8_31', '9_07', '9_14', '9_17', '9_20', '9_04', '8_28']</t>
  </si>
  <si>
    <t>Anu Das</t>
  </si>
  <si>
    <t>Multitasking Assistant</t>
  </si>
  <si>
    <t>['8_29', '9_02', '9_11']</t>
  </si>
  <si>
    <t>GCU030056</t>
  </si>
  <si>
    <t>Lakhi Nath Barman</t>
  </si>
  <si>
    <t>['8_26', '8_27', '8_28', '9_01', '9_03', '9_05', '9_08', '9_09', '9_10', '9_13', '9_15', '9_19']</t>
  </si>
  <si>
    <t>GCU030057</t>
  </si>
  <si>
    <t>Parag Moni Kalita</t>
  </si>
  <si>
    <t>Hamid Ali</t>
  </si>
  <si>
    <t>['8_26', '8_28', '8_29', '9_03', '9_05', '9_09', '9_10', '9_11', '9_13', '9_15', '9_18', '9_19']</t>
  </si>
  <si>
    <t>['8_27', '8_30', '9_02', '9_12', '9_13', '9_15', '9_16']</t>
  </si>
  <si>
    <t>['8_27', '9_16', '9_02']</t>
  </si>
  <si>
    <t>['9_13', '9_15', '8_30', '9_12']</t>
  </si>
  <si>
    <t>['9_06', '8_31', '9_07', '9_14', '9_17', '9_08', '9_20', '9_01']</t>
  </si>
  <si>
    <t>Sankar Das</t>
  </si>
  <si>
    <t>['8_27', '8_28', '9_05', '9_11', '9_16', '9_19']</t>
  </si>
  <si>
    <t>['9_06', '8_31', '9_18', '9_07', '9_14', '9_17', '9_20']</t>
  </si>
  <si>
    <t>Mollika Das</t>
  </si>
  <si>
    <t>['9_05', '9_09', '9_17']</t>
  </si>
  <si>
    <t>Eyajul Ali</t>
  </si>
  <si>
    <t>Anup Baruah</t>
  </si>
  <si>
    <t>['8_28', '8_31', '9_04', '9_07', '9_08', '9_14', '9_18']</t>
  </si>
  <si>
    <t>['8_29', '8_30', '9_05', '9_06', '9_12', '9_13', '9_19']</t>
  </si>
  <si>
    <t>['8_26', '8_28', '8_29', '8_30', '8_31', '9_01', '9_04', '9_05', '9_06', '9_07', '9_08', '9_09', '9_11', '9_12', '9_13', '9_14', '9_16', '9_18', '9_19', '9_20']</t>
  </si>
  <si>
    <t>['9_11', '8_31', '9_07', '9_09', '9_18', '9_14', '9_08', '9_16', '9_20', '9_04', '9_01', '8_28']</t>
  </si>
  <si>
    <t>['9_06', '9_13', '8_26', '9_05', '8_29', '8_30', '9_12', '9_19']</t>
  </si>
  <si>
    <t>['8_27', '9_15']</t>
  </si>
  <si>
    <t>PRAHLAD ROY</t>
  </si>
  <si>
    <t>['8_27', '8_28', '8_29', '8_30', '9_01', '9_02', '9_03', '9_05', '9_08', '9_09', '9_10', '9_11', '9_12', '9_13', '9_15', '9_16', '9_18', '9_19']</t>
  </si>
  <si>
    <t>['8_26', '8_27', '8_28', '8_29', '8_30', '9_01', '9_02', '9_03', '9_05', '9_08', '9_09', '9_10', '9_11', '9_12', '9_13', '9_15', '9_16', '9_17', '9_18', '9_19']</t>
  </si>
  <si>
    <t>['9_05', '8_30', '9_10', '9_02', '8_27', '8_29', '9_01', '8_28', '9_08', '9_16', '9_09', '9_19', '9_11', '9_13', '8_26', '9_18', '9_15', '9_03', '9_12']</t>
  </si>
  <si>
    <t>['9_06', '8_31', '9_07', '9_14', '9_20', '9_04']</t>
  </si>
  <si>
    <t>Purnima Das</t>
  </si>
  <si>
    <t>['9_17', '9_18']</t>
  </si>
  <si>
    <t>['9_18', '9_17']</t>
  </si>
  <si>
    <t>['9_06', '9_11', '8_31', '9_07', '9_14', '9_20']</t>
  </si>
  <si>
    <t>Kamala Das</t>
  </si>
  <si>
    <t>GCU030076</t>
  </si>
  <si>
    <t>Utpal Das</t>
  </si>
  <si>
    <t>['8_26', '8_27', '8_28', '8_29', '8_30', '9_01', '9_02', '9_03', '9_04', '9_05', '9_08', '9_09', '9_10', '9_11', '9_12', '9_13', '9_15', '9_18', '9_19']</t>
  </si>
  <si>
    <t>['9_05', '8_30', '9_10', '9_02', '8_27', '8_29', '9_01', '8_28', '9_08', '9_09', '9_19', '9_11', '9_13', '8_26', '9_18', '9_15', '9_04', '9_03', '9_12']</t>
  </si>
  <si>
    <t>Sarada Das</t>
  </si>
  <si>
    <t>['9_02', '9_14']</t>
  </si>
  <si>
    <t>['9_04', '9_05']</t>
  </si>
  <si>
    <t>GCU030078</t>
  </si>
  <si>
    <t>Kalpana Roy</t>
  </si>
  <si>
    <t>GCU030080</t>
  </si>
  <si>
    <t>Laba Ram Das</t>
  </si>
  <si>
    <t>['8_27', '8_31', '9_07', '9_19']</t>
  </si>
  <si>
    <t>['8_26', '8_30', '9_01', '9_02', '9_06', '9_08', '9_09', '9_13', '9_15', '9_16', '9_20']</t>
  </si>
  <si>
    <t>['8_26', '8_27', '8_28', '8_30', '8_31', '9_01', '9_02', '9_03', '9_06', '9_07', '9_08', '9_09', '9_10', '9_13', '9_15', '9_16', '9_17', '9_19', '9_20']</t>
  </si>
  <si>
    <t>['8_31', '9_07', '9_10', '9_17', '8_27', '9_03', '8_28', '9_19']</t>
  </si>
  <si>
    <t>['9_06', '9_13', '8_26', '9_09', '9_08', '9_15', '9_16', '9_02', '9_20', '9_01', '8_30']</t>
  </si>
  <si>
    <t>Indrabati Basfore</t>
  </si>
  <si>
    <t>['8_26', '8_28', '8_29', '9_03', '9_04', '9_05', '9_08', '9_09', '9_10', '9_11', '9_12', '9_15', '9_16', '9_17', '9_18', '9_19']</t>
  </si>
  <si>
    <t>['9_06', '8_31', '9_07', '9_14', '9_02', '9_20', '8_27', '9_01']</t>
  </si>
  <si>
    <t>Basanti Basfore</t>
  </si>
  <si>
    <t>['9_10', '9_17', '9_18']</t>
  </si>
  <si>
    <t>['9_06', '8_31', '9_07', '9_14', '9_20', '9_04', '9_03']</t>
  </si>
  <si>
    <t>GCU030083</t>
  </si>
  <si>
    <t>Sufia Khatun</t>
  </si>
  <si>
    <t>['9_06', '8_31', '9_07', '9_14', '9_05', '9_20']</t>
  </si>
  <si>
    <t>Thaneswar Kalita</t>
  </si>
  <si>
    <t>['8_28', '9_04', '9_09', '9_11', '9_18']</t>
  </si>
  <si>
    <t>['8_27', '8_29', '8_30', '9_03', '9_05', '9_06', '9_10', '9_12', '9_13', '9_17', '9_19', '9_20']</t>
  </si>
  <si>
    <t>['8_27', '8_28', '8_29', '8_30', '9_01', '9_03', '9_04', '9_05', '9_06', '9_07', '9_08', '9_09', '9_10', '9_11', '9_12', '9_13', '9_15', '9_17', '9_18', '9_19', '9_20']</t>
  </si>
  <si>
    <t>['9_11', '9_18', '9_07', '9_01', '9_15', '9_04', '9_09', '8_28']</t>
  </si>
  <si>
    <t>['9_06', '9_13', '9_10', '9_03', '9_17', '9_08', '9_05', '9_20', '8_27', '8_29', '8_30', '9_12', '9_19']</t>
  </si>
  <si>
    <t>['9_14', '8_31']</t>
  </si>
  <si>
    <t>Haren Das</t>
  </si>
  <si>
    <t>Diganta Kumar Das</t>
  </si>
  <si>
    <t>['8_27', '8_29', '8_30', '9_01', '9_02', '9_03', '9_04', '9_05', '9_09', '9_10', '9_11', '9_12', '9_13', '9_16']</t>
  </si>
  <si>
    <t>Bina Basfor</t>
  </si>
  <si>
    <t>['9_12', '9_15', '9_16']</t>
  </si>
  <si>
    <t>GCU030089</t>
  </si>
  <si>
    <t>Hanufa Bibi</t>
  </si>
  <si>
    <t>['8_31', '9_06', '9_07', '9_14', '9_20']</t>
  </si>
  <si>
    <t>['9_07', '9_14', '9_17']</t>
  </si>
  <si>
    <t>['9_14', '9_07', '9_17']</t>
  </si>
  <si>
    <t>['9_04', '9_18', '9_11', '8_28']</t>
  </si>
  <si>
    <t>GCU030090</t>
  </si>
  <si>
    <t>Mina Basfor</t>
  </si>
  <si>
    <t>['8_27', '8_29', '8_30', '8_31', '9_02', '9_05', '9_06', '9_07', '9_09', '9_10', '9_11', '9_12', '9_14', '9_15', '9_16', '9_17', '9_18', '9_20']</t>
  </si>
  <si>
    <t>['9_08', '9_01', '8_28', '9_19']</t>
  </si>
  <si>
    <t>GCU030091</t>
  </si>
  <si>
    <t>Ashutosh Das</t>
  </si>
  <si>
    <t>GCU030093</t>
  </si>
  <si>
    <t>Simanta Baishya</t>
  </si>
  <si>
    <t>Amit Basfore</t>
  </si>
  <si>
    <t>['8_28', '9_03', '9_15', '9_17']</t>
  </si>
  <si>
    <t>['9_15', '8_28', '9_17']</t>
  </si>
  <si>
    <t>GCU030095</t>
  </si>
  <si>
    <t>Hemanti Basfor</t>
  </si>
  <si>
    <t>['8_26', '8_27', '8_30', '8_31', '9_01', '9_02', '9_03', '9_04', '9_05', '9_07', '9_08', '9_09', '9_10', '9_11', '9_14', '9_15', '9_16', '9_17', '9_18', '9_19', '9_20']</t>
  </si>
  <si>
    <t>['9_06', '8_29', '9_12']</t>
  </si>
  <si>
    <t>Kamal Das</t>
  </si>
  <si>
    <t>['8_26', '8_27', '9_01', '9_02', '9_05']</t>
  </si>
  <si>
    <t>['9_06', '9_10', '8_31', '9_07', '9_14', '9_03', '9_17', '9_20', '9_09']</t>
  </si>
  <si>
    <t>Girija Nath</t>
  </si>
  <si>
    <t>['8_26', '9_03', '9_08', '9_10', '9_12', '9_15', '9_16', '9_18']</t>
  </si>
  <si>
    <t>['9_06', '8_31', '9_07', '9_14', '9_17', '9_05', '9_02', '9_20', '9_01']</t>
  </si>
  <si>
    <t>GCU030100</t>
  </si>
  <si>
    <t>Sanjuma Begum</t>
  </si>
  <si>
    <t>['8_26', '8_27', '8_28', '9_01', '9_02', '9_09', '9_11', '9_12']</t>
  </si>
  <si>
    <t>GCU030102</t>
  </si>
  <si>
    <t>Jit Keleng</t>
  </si>
  <si>
    <t>['9_06', '8_31', '9_05', '8_30', '9_10', '9_07', '9_14', '9_02', '9_20', '8_27', '8_29', '9_01', '8_28', '9_08', '9_16', '9_09', '9_19', '9_11', '9_13', '8_26', '9_18', '9_17', '9_15', '9_04', '9_03', '9_12']</t>
  </si>
  <si>
    <t>GCU030103</t>
  </si>
  <si>
    <t>Apurba Das</t>
  </si>
  <si>
    <t>['8_26', '8_27', '8_28', '8_30', '9_01', '9_05', '9_10', '9_11', '9_12', '9_13', '9_15', '9_19']</t>
  </si>
  <si>
    <t>['9_13', '9_19']</t>
  </si>
  <si>
    <t>Amalesh Baruah</t>
  </si>
  <si>
    <t>System Administrator</t>
  </si>
  <si>
    <t>Pronita Das</t>
  </si>
  <si>
    <t>Diganta  Deka</t>
  </si>
  <si>
    <t>Dipankar Baruah</t>
  </si>
  <si>
    <t>['8_29', '9_12', '9_16']</t>
  </si>
  <si>
    <t>['9_12', '9_16']</t>
  </si>
  <si>
    <t>Rina Deka</t>
  </si>
  <si>
    <t>['9_08', '9_14']</t>
  </si>
  <si>
    <t>['8_28', '9_12']</t>
  </si>
  <si>
    <t>Paresh Das</t>
  </si>
  <si>
    <t>['9_02', '9_06', '9_12', '9_13', '9_20']</t>
  </si>
  <si>
    <t>['8_31', '9_01', '9_07', '9_08', '9_15']</t>
  </si>
  <si>
    <t>['8_26', '8_28', '8_31', '9_01', '9_02', '9_03', '9_06', '9_07', '9_08', '9_09', '9_11', '9_12', '9_13', '9_14', '9_15', '9_16', '9_17', '9_18', '9_20']</t>
  </si>
  <si>
    <t>['9_06', '9_13', '8_26', '9_09', '9_18', '9_14', '9_16', '9_02', '9_20', '9_03', '9_12']</t>
  </si>
  <si>
    <t>['9_11', '8_31', '9_07', '9_17', '9_08', '9_15', '9_01', '8_28']</t>
  </si>
  <si>
    <t>['8_29', '8_30']</t>
  </si>
  <si>
    <t>Ratan Baishya</t>
  </si>
  <si>
    <t>GCU030112</t>
  </si>
  <si>
    <t>Rumi Begum</t>
  </si>
  <si>
    <t>['8_26', '8_27', '9_01', '9_02', '9_04', '9_05', '9_08', '9_09', '9_10', '9_11']</t>
  </si>
  <si>
    <t>['9_06', '8_31', '9_18', '9_07', '9_14', '9_17', '9_15', '9_16', '9_20', '8_29', '8_30', '9_19']</t>
  </si>
  <si>
    <t>Simanta Thakuria</t>
  </si>
  <si>
    <t>Deepa  Das</t>
  </si>
  <si>
    <t>['9_01', '9_02', '9_12', '9_17']</t>
  </si>
  <si>
    <t>['9_06', '9_11', '8_31', '9_07', '9_14', '9_20', '8_29']</t>
  </si>
  <si>
    <t>Md Siddik Ali</t>
  </si>
  <si>
    <t>['8_29', '9_14']</t>
  </si>
  <si>
    <t>['8_28', '9_01', '9_04', '9_08', '9_11', '9_15', '9_18']</t>
  </si>
  <si>
    <t>['8_26', '8_28', '8_29', '8_30', '8_31', '9_01', '9_02', '9_04', '9_05', '9_06', '9_08', '9_09', '9_11', '9_13', '9_14', '9_15', '9_16', '9_18', '9_19']</t>
  </si>
  <si>
    <t>['9_06', '9_13', '8_26', '9_09', '9_14', '9_05', '9_16', '9_02', '8_29', '8_30', '9_19']</t>
  </si>
  <si>
    <t>['9_11', '8_31', '9_18', '9_08', '9_15', '9_04', '9_01', '8_28']</t>
  </si>
  <si>
    <t>Khalil Ali</t>
  </si>
  <si>
    <t>['9_06', '9_15']</t>
  </si>
  <si>
    <t>['8_31', '9_07', '9_18', '9_14', '9_17', '9_20', '9_19']</t>
  </si>
  <si>
    <t>Churiya Begum</t>
  </si>
  <si>
    <t>['9_13', '9_17']</t>
  </si>
  <si>
    <t>['9_06', '9_11', '8_31', '9_07', '9_14', '9_20', '8_28']</t>
  </si>
  <si>
    <t>Bandana Kalita</t>
  </si>
  <si>
    <t>['9_02', '9_07', '9_14']</t>
  </si>
  <si>
    <t>['9_01', '9_15']</t>
  </si>
  <si>
    <t>Sumit Basfor</t>
  </si>
  <si>
    <t>['9_20']</t>
  </si>
  <si>
    <t>['8_31', '9_14', '9_20']</t>
  </si>
  <si>
    <t>['9_06', '9_11', '9_10', '9_18', '9_07', '9_08', '9_05', '9_04', '8_27', '9_09', '9_12']</t>
  </si>
  <si>
    <t>Rita Das</t>
  </si>
  <si>
    <t>['8_29', '9_04', '9_06', '9_07', '9_11', '9_12', '9_14', '9_16', '9_17', '9_18', '9_19']</t>
  </si>
  <si>
    <t>['9_03', '9_20']</t>
  </si>
  <si>
    <t>GCU030127</t>
  </si>
  <si>
    <t>Safiqul Haque</t>
  </si>
  <si>
    <t>['9_01', '9_02', '9_07', '9_10', '9_14', '9_16']</t>
  </si>
  <si>
    <t>['9_10', '9_07', '9_14', '9_16', '9_02']</t>
  </si>
  <si>
    <t>Dilip Kumar Das</t>
  </si>
  <si>
    <t>['9_04', '9_05', '9_09', '9_17']</t>
  </si>
  <si>
    <t>Md Jamser Ali</t>
  </si>
  <si>
    <t>['9_06', '8_31', '9_07', '9_14', '9_17', '9_20', '8_29', '8_30']</t>
  </si>
  <si>
    <t>GCU030133</t>
  </si>
  <si>
    <t>Ajit Ch. Phukan</t>
  </si>
  <si>
    <t>['8_27', '9_03', '9_05', '9_08', '9_10', '9_12', '9_15', '9_19']</t>
  </si>
  <si>
    <t>['9_06', '9_11', '9_13', '8_26', '8_31', '9_07', '9_18', '8_29', '9_14', '9_17', '9_01', '9_16', '9_02', '9_04', '9_20', '9_09', '8_28', '8_30']</t>
  </si>
  <si>
    <t>GCU030138</t>
  </si>
  <si>
    <t>Anita Basfor</t>
  </si>
  <si>
    <t>['8_28', '8_30', '8_31', '9_01', '9_04', '9_06', '9_07', '9_08', '9_09', '9_14', '9_15', '9_16', '9_18', '9_20']</t>
  </si>
  <si>
    <t>['8_27', '9_03', '9_10', '9_17']</t>
  </si>
  <si>
    <t>Madan Das</t>
  </si>
  <si>
    <t>['9_03', '9_17']</t>
  </si>
  <si>
    <t>['9_06', '9_17']</t>
  </si>
  <si>
    <t>['8_31', '9_07', '9_14', '9_20', '8_27']</t>
  </si>
  <si>
    <t>GCU030141</t>
  </si>
  <si>
    <t>Bhabajyoti Baishya</t>
  </si>
  <si>
    <t>Multitasking Executive</t>
  </si>
  <si>
    <t>['9_04', '9_05', '9_13', '9_15', '9_18']</t>
  </si>
  <si>
    <t>['8_30', '9_10', '9_16']</t>
  </si>
  <si>
    <t>Bijoy Mandal</t>
  </si>
  <si>
    <t>['8_29', '9_02', '9_04', '9_16']</t>
  </si>
  <si>
    <t>['8_26', '9_02', '9_03', '9_04', '9_13', '9_18', '9_19']</t>
  </si>
  <si>
    <t>['9_13', '8_26', '9_18', '9_02', '9_04', '9_03', '9_19']</t>
  </si>
  <si>
    <t>['9_06', '9_10', '8_31', '9_07', '9_14', '9_17', '9_08', '9_20', '8_27', '9_09']</t>
  </si>
  <si>
    <t>GCU030144</t>
  </si>
  <si>
    <t>Kalyan Changmai</t>
  </si>
  <si>
    <t>['8_27', '8_28', '9_03', '9_05', '9_12', '9_16', '9_19']</t>
  </si>
  <si>
    <t>GCU030146</t>
  </si>
  <si>
    <t>Kanshouwa Torung Maring</t>
  </si>
  <si>
    <t>GCU030149</t>
  </si>
  <si>
    <t>Rina Basfor</t>
  </si>
  <si>
    <t>['8_28', '9_02', '9_04', '9_08', '9_09', '9_15']</t>
  </si>
  <si>
    <t>Hitesh Kalita</t>
  </si>
  <si>
    <t>['8_30', '9_04']</t>
  </si>
  <si>
    <t>['8_26', '8_29', '9_02', '9_05', '9_12', '9_16', '9_17', '9_19']</t>
  </si>
  <si>
    <t>['8_26', '8_27', '8_29', '8_30', '8_31', '9_02', '9_04', '9_05', '9_06', '9_10', '9_12', '9_13', '9_14', '9_16', '9_17', '9_19', '9_20']</t>
  </si>
  <si>
    <t>['9_06', '9_13', '9_10', '8_31', '9_14', '9_20', '9_04', '8_27', '8_30']</t>
  </si>
  <si>
    <t>['8_26', '9_17', '9_05', '9_16', '9_02', '8_29', '9_12', '9_19']</t>
  </si>
  <si>
    <t>['9_09', '9_03', '9_18']</t>
  </si>
  <si>
    <t>Raja Mohan</t>
  </si>
  <si>
    <t>['8_27', '8_28', '9_03', '9_04', '9_10', '9_11']</t>
  </si>
  <si>
    <t>['8_26', '8_27', '8_28', '8_29', '9_01', '9_02', '9_03', '9_04', '9_05', '9_07', '9_08', '9_09', '9_10', '9_11', '9_12', '9_14', '9_16', '9_19', '9_20']</t>
  </si>
  <si>
    <t>['8_26', '9_09', '9_14', '9_08', '9_05', '9_16', '9_02', '8_29', '9_12', '9_19']</t>
  </si>
  <si>
    <t>['9_11', '9_10', '9_07', '9_03', '9_20', '9_04', '8_27', '9_01', '8_28']</t>
  </si>
  <si>
    <t>Pinku Mohan</t>
  </si>
  <si>
    <t>['8_28', '9_20']</t>
  </si>
  <si>
    <t>['9_06', '8_31', '9_07', '9_14', '9_09']</t>
  </si>
  <si>
    <t>Md Zakir Hussain</t>
  </si>
  <si>
    <t>Security (I/C)</t>
  </si>
  <si>
    <t>['8_26', '8_28', '8_30', '9_12', '9_13', '9_19', '9_20']</t>
  </si>
  <si>
    <t>['8_27', '8_29', '8_31', '9_03', '9_04', '9_07', '9_10', '9_17', '9_18']</t>
  </si>
  <si>
    <t>['8_26', '8_27', '8_28', '8_29', '8_30', '8_31', '9_01', '9_03', '9_04', '9_07', '9_08', '9_10', '9_12', '9_13', '9_14', '9_15', '9_17', '9_18', '9_19', '9_20']</t>
  </si>
  <si>
    <t>['9_13', '8_26', '9_14', '9_08', '9_15', '9_20', '9_01', '8_28', '8_30', '9_12', '9_19']</t>
  </si>
  <si>
    <t>['9_10', '9_18', '8_31', '9_07', '8_29', '9_17', '9_04', '8_27', '9_03']</t>
  </si>
  <si>
    <t>['9_06', '9_05', '9_11']</t>
  </si>
  <si>
    <t>Simanta Talukdar</t>
  </si>
  <si>
    <t>['8_28', '8_29', '9_04', '9_05', '9_08', '9_11', '9_15', '9_18']</t>
  </si>
  <si>
    <t>['8_26', '8_27', '9_02', '9_03', '9_09', '9_10', '9_12', '9_16', '9_17', '9_19']</t>
  </si>
  <si>
    <t>['8_26', '8_27', '8_28', '8_29', '8_30', '9_02', '9_03', '9_04', '9_05', '9_06', '9_07', '9_08', '9_09', '9_10', '9_11', '9_12', '9_13', '9_15', '9_16', '9_17', '9_18', '9_19', '9_20']</t>
  </si>
  <si>
    <t>['9_06', '9_11', '9_13', '9_18', '9_08', '9_05', '9_15', '9_20', '9_04', '8_29', '8_28', '8_30']</t>
  </si>
  <si>
    <t>['8_26', '9_10', '9_07', '9_09', '9_17', '9_16', '9_02', '8_27', '9_03', '9_12', '9_19']</t>
  </si>
  <si>
    <t>Pabitra Das</t>
  </si>
  <si>
    <t>['8_27', '8_31', '9_10', '9_18']</t>
  </si>
  <si>
    <t>['8_27', '8_28', '8_31', '9_01', '9_03', '9_05', '9_07', '9_08', '9_10', '9_11', '9_14', '9_15', '9_18', '9_19', '9_20']</t>
  </si>
  <si>
    <t>['9_11', '9_07', '9_14', '9_03', '9_08', '9_05', '9_15', '9_01', '8_28', '9_19']</t>
  </si>
  <si>
    <t>['8_31', '9_10', '9_18', '9_20', '8_27']</t>
  </si>
  <si>
    <t>['9_04', '9_17', '9_02']</t>
  </si>
  <si>
    <t>GCU030162</t>
  </si>
  <si>
    <t>Nripen Das</t>
  </si>
  <si>
    <t>['9_02', '9_08', '9_15']</t>
  </si>
  <si>
    <t>Sagar Basfor</t>
  </si>
  <si>
    <t>['8_27', '9_03', '9_17']</t>
  </si>
  <si>
    <t>['8_27', '9_03']</t>
  </si>
  <si>
    <t>['9_06', '8_31', '9_07', '9_14', '9_20', '8_30']</t>
  </si>
  <si>
    <t>Bhaskar Jyoti Bhuyan</t>
  </si>
  <si>
    <t>['8_29', '9_01', '9_05', '9_13', '9_18', '9_19']</t>
  </si>
  <si>
    <t>Pranjit Sarma</t>
  </si>
  <si>
    <t>['8_27', '9_06', '9_07', '9_16', '9_17', '9_18', '9_19', '9_20']</t>
  </si>
  <si>
    <t>['8_31', '9_10', '9_14', '9_03', '9_01', '9_02', '9_04', '8_29', '8_28', '8_30']</t>
  </si>
  <si>
    <t>Hiran Devi</t>
  </si>
  <si>
    <t>['8_28', '8_30', '9_01', '9_02', '9_03', '9_04', '9_05', '9_08', '9_09', '9_10', '9_11', '9_12', '9_13', '9_16', '9_18']</t>
  </si>
  <si>
    <t>['9_01', '9_02', '9_03', '9_04', '9_05', '9_08', '9_09', '9_10', '9_11', '9_12', '9_13']</t>
  </si>
  <si>
    <t>['9_11', '9_13', '9_10', '9_09', '9_08', '9_01', '9_05', '9_02', '9_04', '9_03', '9_12']</t>
  </si>
  <si>
    <t>Sajahan Ali</t>
  </si>
  <si>
    <t>['9_05', '9_16', '8_29', '8_30', '9_12', '9_19']</t>
  </si>
  <si>
    <t>Himangshu Patowary</t>
  </si>
  <si>
    <t>['8_27', '8_28', '8_31', '9_02', '9_09', '9_10', '9_11', '9_12', '9_13', '9_14', '9_16', '9_18', '9_19']</t>
  </si>
  <si>
    <t>['8_31']</t>
  </si>
  <si>
    <t>['8_26', '9_17', '9_08', '9_15', '9_20', '9_01']</t>
  </si>
  <si>
    <t>GCU030170</t>
  </si>
  <si>
    <t>Imran  Ali</t>
  </si>
  <si>
    <t>['8_26', '8_27', '8_30', '8_31', '9_04', '9_10', '9_13', '9_17']</t>
  </si>
  <si>
    <t>['8_28', '8_29', '9_03', '9_05', '9_11', '9_12', '9_18', '9_19']</t>
  </si>
  <si>
    <t>['8_26', '8_27', '8_28', '8_29', '8_30', '8_31', '9_01', '9_03', '9_04', '9_05', '9_07', '9_10', '9_11', '9_12', '9_13', '9_14', '9_17', '9_18', '9_19']</t>
  </si>
  <si>
    <t>['9_13', '8_26', '8_31', '9_07', '9_10', '9_14', '9_17', '9_04', '8_27', '9_01', '8_30']</t>
  </si>
  <si>
    <t>['9_11', '9_18', '9_03', '9_05', '8_29', '8_28', '9_12', '9_19']</t>
  </si>
  <si>
    <t>['9_06', '9_20']</t>
  </si>
  <si>
    <t>Jiten Das</t>
  </si>
  <si>
    <t>GCU030172</t>
  </si>
  <si>
    <t>['8_26', '8_27', '8_28', '8_29', '8_30', '9_01', '9_02', '9_03', '9_05', '9_08', '9_09', '9_10', '9_11', '9_12', '9_13', '9_15', '9_16']</t>
  </si>
  <si>
    <t>['8_30', '9_01', '9_09', '9_10']</t>
  </si>
  <si>
    <t>['9_01', '9_10']</t>
  </si>
  <si>
    <t>['9_11', '9_13', '8_26', '9_09', '9_03', '9_08', '9_05', '9_15', '9_16', '9_02', '8_27', '8_29', '8_28', '8_30', '9_12']</t>
  </si>
  <si>
    <t>['9_06', '8_31', '9_18', '9_07', '9_14', '9_17', '9_20', '9_04', '9_19']</t>
  </si>
  <si>
    <t>Mrinmoy Gogoi</t>
  </si>
  <si>
    <t>['8_30', '9_03', '9_04', '9_05', '9_12', '9_18']</t>
  </si>
  <si>
    <t>['8_30', '9_16']</t>
  </si>
  <si>
    <t>['9_06', '8_31', '9_07', '9_14', '9_17', '9_15', '9_02', '9_20']</t>
  </si>
  <si>
    <t>GCU030176</t>
  </si>
  <si>
    <t>Anisha Akhter</t>
  </si>
  <si>
    <t>['8_29', '8_30', '9_03', '9_11', '9_12', '9_18']</t>
  </si>
  <si>
    <t>['9_06', '8_26', '8_31', '9_07', '9_14', '9_17', '9_16', '9_20']</t>
  </si>
  <si>
    <t>Nisha Kalita</t>
  </si>
  <si>
    <t>['8_26', '8_27', '8_29', '8_30', '8_31', '9_08', '9_09', '9_10', '9_12', '9_13', '9_14']</t>
  </si>
  <si>
    <t>['9_01', '9_02', '9_03', '9_04', '9_06', '9_07', '9_15', '9_16', '9_17', '9_18', '9_20']</t>
  </si>
  <si>
    <t>['8_26', '8_27', '8_29', '8_30', '8_31', '9_01', '9_02', '9_03', '9_04', '9_06', '9_07', '9_08', '9_09', '9_10', '9_12', '9_13', '9_14', '9_15', '9_16', '9_17', '9_18', '9_20']</t>
  </si>
  <si>
    <t>['9_13', '8_26', '8_31', '9_09', '9_10', '9_14', '9_08', '8_27', '8_29', '8_30', '9_12']</t>
  </si>
  <si>
    <t>['9_06', '9_07', '9_18', '9_03', '9_17', '9_15', '9_16', '9_02', '9_04', '9_20', '9_01']</t>
  </si>
  <si>
    <t>['9_11', '9_19']</t>
  </si>
  <si>
    <t>Akash Basfor</t>
  </si>
  <si>
    <t>['8_31', '9_02', '9_06', '9_07', '9_20']</t>
  </si>
  <si>
    <t>['8_27', '8_31', '9_06', '9_07', '9_16', '9_20']</t>
  </si>
  <si>
    <t>['8_27', '9_06', '9_07', '9_16']</t>
  </si>
  <si>
    <t>['9_06', '8_27', '9_16', '9_07']</t>
  </si>
  <si>
    <t>['9_14', '9_03', '8_28', '9_17']</t>
  </si>
  <si>
    <t>Minakshi Patowari</t>
  </si>
  <si>
    <t>['8_26', '8_27', '8_29', '8_31', '9_08', '9_09', '9_10', '9_12', '9_13']</t>
  </si>
  <si>
    <t>['8_27', '8_29', '8_31', '9_01', '9_02', '9_03', '9_04', '9_06', '9_07', '9_08', '9_09', '9_10', '9_12', '9_13', '9_14', '9_15', '9_16', '9_17', '9_18', '9_20']</t>
  </si>
  <si>
    <t>['9_06', '9_07', '9_18', '9_14', '9_17', '9_01', '9_15', '9_16', '9_02', '9_04', '9_20', '9_03']</t>
  </si>
  <si>
    <t>['9_13', '8_31', '9_10', '8_29', '9_08', '8_27', '9_09', '9_12']</t>
  </si>
  <si>
    <t>['9_05', '8_28']</t>
  </si>
  <si>
    <t>GCU030183</t>
  </si>
  <si>
    <t>['9_02', '9_15', '9_16']</t>
  </si>
  <si>
    <t>GCU030184</t>
  </si>
  <si>
    <t>['8_28', '8_31', '9_01', '9_06', '9_12', '9_14']</t>
  </si>
  <si>
    <t>['8_28', '9_01', '9_17']</t>
  </si>
  <si>
    <t>['9_01', '8_28', '9_17']</t>
  </si>
  <si>
    <t>['9_13', '9_07', '9_02', '9_20', '8_29']</t>
  </si>
  <si>
    <t>['8_28', '9_04', '9_07', '9_11']</t>
  </si>
  <si>
    <t>['8_28', '8_30', '8_31', '9_01', '9_04', '9_05', '9_07', '9_08', '9_11', '9_12', '9_15', '9_19']</t>
  </si>
  <si>
    <t>['9_08', '9_05', '9_15', '9_01', '8_30', '9_12', '9_19']</t>
  </si>
  <si>
    <t>['9_11', '8_31', '9_07', '9_04', '8_28']</t>
  </si>
  <si>
    <t>['9_14', '8_29']</t>
  </si>
  <si>
    <t>['8_26', '8_27', '8_28', '8_29', '8_30', '8_31', '9_01', '9_02', '9_03', '9_04', '9_05', '9_06', '9_09', '9_10', '9_11', '9_12', '9_14', '9_15', '9_18', '9_19', '9_20']</t>
  </si>
  <si>
    <t>['8_31', '9_14', '9_17', '9_20']</t>
  </si>
  <si>
    <t>['9_14', '8_31', '9_20']</t>
  </si>
  <si>
    <t>['9_08', '9_07']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</si>
</sst>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1" fillId="0" borderId="2" xfId="0" applyFont="1" applyFill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4"/>
  <sheetViews>
    <sheetView workbookViewId="0">
      <selection activeCell="P17" sqref="P17"/>
    </sheetView>
  </sheetViews>
  <sheetFormatPr defaultRowHeight="14.4"/>
  <cols>
    <col min="1" max="1" width="11.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6</v>
      </c>
      <c r="M1" s="1" t="s">
        <v>4</v>
      </c>
      <c r="N1" s="1" t="s">
        <v>5</v>
      </c>
    </row>
    <row r="2" spans="1:14">
      <c r="A2" t="s">
        <v>323</v>
      </c>
      <c r="B2" t="s">
        <v>324</v>
      </c>
      <c r="C2" t="s">
        <v>152</v>
      </c>
      <c r="D2" t="s">
        <v>154</v>
      </c>
      <c r="E2" t="s">
        <v>325</v>
      </c>
      <c r="F2" t="s">
        <v>158</v>
      </c>
      <c r="G2" t="s">
        <v>326</v>
      </c>
      <c r="H2" t="s">
        <v>327</v>
      </c>
      <c r="I2" t="s">
        <v>166</v>
      </c>
      <c r="J2" t="s">
        <v>328</v>
      </c>
      <c r="K2">
        <v>14</v>
      </c>
      <c r="L2">
        <v>7.5</v>
      </c>
      <c r="M2">
        <v>20</v>
      </c>
      <c r="N2">
        <v>12.5</v>
      </c>
    </row>
    <row r="3" spans="1:14">
      <c r="A3" t="s">
        <v>231</v>
      </c>
      <c r="B3" t="s">
        <v>329</v>
      </c>
      <c r="C3" t="s">
        <v>154</v>
      </c>
      <c r="D3" t="s">
        <v>154</v>
      </c>
      <c r="E3" t="s">
        <v>330</v>
      </c>
      <c r="F3" t="s">
        <v>331</v>
      </c>
      <c r="G3" t="s">
        <v>332</v>
      </c>
      <c r="H3" t="s">
        <v>158</v>
      </c>
      <c r="I3" t="s">
        <v>158</v>
      </c>
      <c r="J3" t="s">
        <v>333</v>
      </c>
      <c r="K3">
        <v>8</v>
      </c>
      <c r="L3">
        <v>0</v>
      </c>
      <c r="M3">
        <v>20</v>
      </c>
      <c r="N3">
        <v>20</v>
      </c>
    </row>
    <row r="4" spans="1:14">
      <c r="A4" t="s">
        <v>334</v>
      </c>
      <c r="B4" t="s">
        <v>335</v>
      </c>
      <c r="C4" t="s">
        <v>152</v>
      </c>
      <c r="D4" t="s">
        <v>154</v>
      </c>
      <c r="E4" t="s">
        <v>158</v>
      </c>
      <c r="F4" t="s">
        <v>158</v>
      </c>
      <c r="G4" t="s">
        <v>158</v>
      </c>
      <c r="H4" t="s">
        <v>158</v>
      </c>
      <c r="I4" t="s">
        <v>158</v>
      </c>
      <c r="J4" t="s">
        <v>333</v>
      </c>
      <c r="K4">
        <v>0</v>
      </c>
      <c r="L4">
        <v>0</v>
      </c>
      <c r="M4">
        <v>20</v>
      </c>
      <c r="N4">
        <v>20</v>
      </c>
    </row>
    <row r="5" spans="1:14">
      <c r="A5" t="s">
        <v>199</v>
      </c>
      <c r="B5" t="s">
        <v>336</v>
      </c>
      <c r="C5" t="s">
        <v>152</v>
      </c>
      <c r="D5" t="s">
        <v>154</v>
      </c>
      <c r="E5" t="s">
        <v>158</v>
      </c>
      <c r="F5" t="s">
        <v>158</v>
      </c>
      <c r="G5" t="s">
        <v>158</v>
      </c>
      <c r="H5" t="s">
        <v>158</v>
      </c>
      <c r="I5" t="s">
        <v>158</v>
      </c>
      <c r="J5" t="s">
        <v>333</v>
      </c>
      <c r="K5">
        <v>0</v>
      </c>
      <c r="L5">
        <v>0</v>
      </c>
      <c r="M5">
        <v>20</v>
      </c>
      <c r="N5">
        <v>20</v>
      </c>
    </row>
    <row r="6" spans="1:14">
      <c r="A6" t="s">
        <v>202</v>
      </c>
      <c r="B6" t="s">
        <v>337</v>
      </c>
      <c r="C6" t="s">
        <v>152</v>
      </c>
      <c r="D6" t="s">
        <v>154</v>
      </c>
      <c r="E6" t="s">
        <v>171</v>
      </c>
      <c r="F6" t="s">
        <v>158</v>
      </c>
      <c r="G6" t="s">
        <v>167</v>
      </c>
      <c r="H6" t="s">
        <v>158</v>
      </c>
      <c r="I6" t="s">
        <v>167</v>
      </c>
      <c r="J6" t="s">
        <v>333</v>
      </c>
      <c r="K6">
        <v>1</v>
      </c>
      <c r="L6">
        <v>0.5</v>
      </c>
      <c r="M6">
        <v>20</v>
      </c>
      <c r="N6">
        <v>19.5</v>
      </c>
    </row>
    <row r="7" spans="1:14">
      <c r="A7" t="s">
        <v>213</v>
      </c>
      <c r="B7" t="s">
        <v>338</v>
      </c>
      <c r="C7" t="s">
        <v>154</v>
      </c>
      <c r="D7" t="s">
        <v>154</v>
      </c>
      <c r="E7" t="s">
        <v>158</v>
      </c>
      <c r="F7" t="s">
        <v>164</v>
      </c>
      <c r="G7" t="s">
        <v>158</v>
      </c>
      <c r="H7" t="s">
        <v>158</v>
      </c>
      <c r="I7" t="s">
        <v>158</v>
      </c>
      <c r="J7" t="s">
        <v>333</v>
      </c>
      <c r="K7">
        <v>0</v>
      </c>
      <c r="L7">
        <v>0</v>
      </c>
      <c r="M7">
        <v>20</v>
      </c>
      <c r="N7">
        <v>20</v>
      </c>
    </row>
    <row r="8" spans="1:14">
      <c r="A8" t="s">
        <v>300</v>
      </c>
      <c r="B8" t="s">
        <v>339</v>
      </c>
      <c r="C8" t="s">
        <v>152</v>
      </c>
      <c r="D8" t="s">
        <v>154</v>
      </c>
      <c r="E8" t="s">
        <v>340</v>
      </c>
      <c r="F8" t="s">
        <v>158</v>
      </c>
      <c r="G8" t="s">
        <v>158</v>
      </c>
      <c r="H8" t="s">
        <v>158</v>
      </c>
      <c r="I8" t="s">
        <v>158</v>
      </c>
      <c r="J8" t="s">
        <v>341</v>
      </c>
      <c r="K8">
        <v>19</v>
      </c>
      <c r="L8">
        <v>1</v>
      </c>
      <c r="M8">
        <v>20</v>
      </c>
      <c r="N8">
        <v>19</v>
      </c>
    </row>
    <row r="9" spans="1:14">
      <c r="A9" t="s">
        <v>197</v>
      </c>
      <c r="B9" t="s">
        <v>342</v>
      </c>
      <c r="C9" t="s">
        <v>343</v>
      </c>
      <c r="D9" t="s">
        <v>154</v>
      </c>
      <c r="E9" t="s">
        <v>344</v>
      </c>
      <c r="F9" t="s">
        <v>158</v>
      </c>
      <c r="G9" t="s">
        <v>158</v>
      </c>
      <c r="H9" t="s">
        <v>158</v>
      </c>
      <c r="I9" t="s">
        <v>158</v>
      </c>
      <c r="J9" t="s">
        <v>345</v>
      </c>
      <c r="K9">
        <v>4</v>
      </c>
      <c r="L9">
        <v>2</v>
      </c>
      <c r="M9">
        <v>20</v>
      </c>
      <c r="N9">
        <v>18</v>
      </c>
    </row>
    <row r="10" spans="1:14">
      <c r="A10" t="s">
        <v>196</v>
      </c>
      <c r="B10" t="s">
        <v>346</v>
      </c>
      <c r="C10" t="s">
        <v>152</v>
      </c>
      <c r="D10" t="s">
        <v>155</v>
      </c>
      <c r="E10" t="s">
        <v>160</v>
      </c>
      <c r="F10" t="s">
        <v>158</v>
      </c>
      <c r="G10" t="s">
        <v>347</v>
      </c>
      <c r="H10" t="s">
        <v>347</v>
      </c>
      <c r="I10" t="s">
        <v>158</v>
      </c>
      <c r="J10" t="s">
        <v>333</v>
      </c>
      <c r="K10">
        <v>2</v>
      </c>
      <c r="L10">
        <v>1</v>
      </c>
      <c r="M10">
        <v>20</v>
      </c>
      <c r="N10">
        <v>19</v>
      </c>
    </row>
    <row r="11" spans="1:14">
      <c r="A11" t="s">
        <v>207</v>
      </c>
      <c r="B11" t="s">
        <v>348</v>
      </c>
      <c r="C11" t="s">
        <v>152</v>
      </c>
      <c r="D11" t="s">
        <v>154</v>
      </c>
      <c r="E11" t="s">
        <v>349</v>
      </c>
      <c r="F11" t="s">
        <v>157</v>
      </c>
      <c r="G11" t="s">
        <v>157</v>
      </c>
      <c r="H11" t="s">
        <v>158</v>
      </c>
      <c r="I11" t="s">
        <v>157</v>
      </c>
      <c r="J11" t="s">
        <v>333</v>
      </c>
      <c r="K11">
        <v>6</v>
      </c>
      <c r="L11">
        <v>0.5</v>
      </c>
      <c r="M11">
        <v>20</v>
      </c>
      <c r="N11">
        <v>19.5</v>
      </c>
    </row>
    <row r="12" spans="1:14">
      <c r="A12" t="s">
        <v>218</v>
      </c>
      <c r="B12" t="s">
        <v>350</v>
      </c>
      <c r="C12" t="s">
        <v>152</v>
      </c>
      <c r="D12" t="s">
        <v>154</v>
      </c>
      <c r="E12" t="s">
        <v>158</v>
      </c>
      <c r="F12" t="s">
        <v>157</v>
      </c>
      <c r="G12" t="s">
        <v>351</v>
      </c>
      <c r="H12" t="s">
        <v>158</v>
      </c>
      <c r="I12" t="s">
        <v>351</v>
      </c>
      <c r="J12" t="s">
        <v>333</v>
      </c>
      <c r="K12">
        <v>0</v>
      </c>
      <c r="L12">
        <v>1</v>
      </c>
      <c r="M12">
        <v>20</v>
      </c>
      <c r="N12">
        <v>19</v>
      </c>
    </row>
    <row r="13" spans="1:14">
      <c r="A13" t="s">
        <v>268</v>
      </c>
      <c r="B13" t="s">
        <v>352</v>
      </c>
      <c r="C13" t="s">
        <v>152</v>
      </c>
      <c r="D13" t="s">
        <v>155</v>
      </c>
      <c r="E13" t="s">
        <v>353</v>
      </c>
      <c r="F13" t="s">
        <v>158</v>
      </c>
      <c r="G13" t="s">
        <v>158</v>
      </c>
      <c r="H13" t="s">
        <v>158</v>
      </c>
      <c r="I13" t="s">
        <v>158</v>
      </c>
      <c r="J13" t="s">
        <v>354</v>
      </c>
      <c r="K13">
        <v>6</v>
      </c>
      <c r="L13">
        <v>1</v>
      </c>
      <c r="M13">
        <v>20</v>
      </c>
      <c r="N13">
        <v>19</v>
      </c>
    </row>
    <row r="14" spans="1:14">
      <c r="A14" t="s">
        <v>208</v>
      </c>
      <c r="B14" t="s">
        <v>355</v>
      </c>
      <c r="C14" t="s">
        <v>152</v>
      </c>
      <c r="D14" t="s">
        <v>154</v>
      </c>
      <c r="E14" t="s">
        <v>356</v>
      </c>
      <c r="F14" t="s">
        <v>158</v>
      </c>
      <c r="G14" t="s">
        <v>357</v>
      </c>
      <c r="H14" t="s">
        <v>357</v>
      </c>
      <c r="I14" t="s">
        <v>158</v>
      </c>
      <c r="J14" t="s">
        <v>333</v>
      </c>
      <c r="K14">
        <v>5</v>
      </c>
      <c r="L14">
        <v>1</v>
      </c>
      <c r="M14">
        <v>20</v>
      </c>
      <c r="N14">
        <v>19</v>
      </c>
    </row>
    <row r="15" spans="1:14">
      <c r="A15" t="s">
        <v>210</v>
      </c>
      <c r="B15" t="s">
        <v>358</v>
      </c>
      <c r="C15" t="s">
        <v>152</v>
      </c>
      <c r="D15" t="s">
        <v>154</v>
      </c>
      <c r="E15" t="s">
        <v>359</v>
      </c>
      <c r="F15" t="s">
        <v>158</v>
      </c>
      <c r="G15" t="s">
        <v>158</v>
      </c>
      <c r="H15" t="s">
        <v>158</v>
      </c>
      <c r="I15" t="s">
        <v>158</v>
      </c>
      <c r="J15" t="s">
        <v>360</v>
      </c>
      <c r="K15">
        <v>12</v>
      </c>
      <c r="L15">
        <v>1</v>
      </c>
      <c r="M15">
        <v>20</v>
      </c>
      <c r="N15">
        <v>19</v>
      </c>
    </row>
    <row r="16" spans="1:14">
      <c r="A16" t="s">
        <v>258</v>
      </c>
      <c r="B16" t="s">
        <v>361</v>
      </c>
      <c r="C16" t="s">
        <v>154</v>
      </c>
      <c r="D16" t="s">
        <v>154</v>
      </c>
      <c r="E16" t="s">
        <v>164</v>
      </c>
      <c r="F16" t="s">
        <v>158</v>
      </c>
      <c r="G16" t="s">
        <v>175</v>
      </c>
      <c r="H16" t="s">
        <v>175</v>
      </c>
      <c r="I16" t="s">
        <v>158</v>
      </c>
      <c r="J16" t="s">
        <v>333</v>
      </c>
      <c r="K16">
        <v>1</v>
      </c>
      <c r="L16">
        <v>0.5</v>
      </c>
      <c r="M16">
        <v>20</v>
      </c>
      <c r="N16">
        <v>19.5</v>
      </c>
    </row>
    <row r="17" spans="1:14">
      <c r="A17" t="s">
        <v>200</v>
      </c>
      <c r="B17" t="s">
        <v>362</v>
      </c>
      <c r="C17" t="s">
        <v>152</v>
      </c>
      <c r="D17" t="s">
        <v>154</v>
      </c>
      <c r="E17" t="s">
        <v>158</v>
      </c>
      <c r="F17" t="s">
        <v>158</v>
      </c>
      <c r="G17" t="s">
        <v>158</v>
      </c>
      <c r="H17" t="s">
        <v>158</v>
      </c>
      <c r="I17" t="s">
        <v>158</v>
      </c>
      <c r="J17" t="s">
        <v>363</v>
      </c>
      <c r="K17">
        <v>0</v>
      </c>
      <c r="L17">
        <v>5</v>
      </c>
      <c r="M17">
        <v>20</v>
      </c>
      <c r="N17">
        <v>15</v>
      </c>
    </row>
    <row r="18" spans="1:14">
      <c r="A18" t="s">
        <v>201</v>
      </c>
      <c r="B18" t="s">
        <v>364</v>
      </c>
      <c r="C18" t="s">
        <v>152</v>
      </c>
      <c r="D18" t="s">
        <v>154</v>
      </c>
      <c r="E18" t="s">
        <v>164</v>
      </c>
      <c r="F18" t="s">
        <v>158</v>
      </c>
      <c r="G18" t="s">
        <v>158</v>
      </c>
      <c r="H18" t="s">
        <v>158</v>
      </c>
      <c r="I18" t="s">
        <v>158</v>
      </c>
      <c r="J18" t="s">
        <v>365</v>
      </c>
      <c r="K18">
        <v>1</v>
      </c>
      <c r="L18">
        <v>2</v>
      </c>
      <c r="M18">
        <v>20</v>
      </c>
      <c r="N18">
        <v>18</v>
      </c>
    </row>
    <row r="19" spans="1:14">
      <c r="A19" t="s">
        <v>317</v>
      </c>
      <c r="B19" t="s">
        <v>366</v>
      </c>
      <c r="C19" t="s">
        <v>367</v>
      </c>
      <c r="D19" t="s">
        <v>155</v>
      </c>
      <c r="E19" t="s">
        <v>158</v>
      </c>
      <c r="F19" t="s">
        <v>158</v>
      </c>
      <c r="G19" t="s">
        <v>331</v>
      </c>
      <c r="H19" t="s">
        <v>158</v>
      </c>
      <c r="I19" t="s">
        <v>331</v>
      </c>
      <c r="J19" t="s">
        <v>368</v>
      </c>
      <c r="K19">
        <v>0</v>
      </c>
      <c r="L19">
        <v>0.5</v>
      </c>
      <c r="M19">
        <v>20</v>
      </c>
      <c r="N19">
        <v>19.5</v>
      </c>
    </row>
    <row r="20" spans="1:14">
      <c r="A20" t="s">
        <v>369</v>
      </c>
      <c r="B20" t="s">
        <v>370</v>
      </c>
      <c r="C20" t="s">
        <v>367</v>
      </c>
      <c r="D20" t="s">
        <v>155</v>
      </c>
      <c r="E20" t="s">
        <v>371</v>
      </c>
      <c r="F20" t="s">
        <v>158</v>
      </c>
      <c r="G20" t="s">
        <v>372</v>
      </c>
      <c r="H20" t="s">
        <v>158</v>
      </c>
      <c r="I20" t="s">
        <v>373</v>
      </c>
      <c r="J20" t="s">
        <v>158</v>
      </c>
      <c r="K20">
        <v>1</v>
      </c>
      <c r="L20">
        <v>-4.5</v>
      </c>
      <c r="M20">
        <v>20</v>
      </c>
      <c r="N20">
        <v>24.5</v>
      </c>
    </row>
    <row r="21" spans="1:14">
      <c r="A21" t="s">
        <v>374</v>
      </c>
      <c r="B21" t="s">
        <v>375</v>
      </c>
      <c r="C21" t="s">
        <v>367</v>
      </c>
      <c r="D21" t="s">
        <v>155</v>
      </c>
      <c r="E21" t="s">
        <v>371</v>
      </c>
      <c r="F21" t="s">
        <v>158</v>
      </c>
      <c r="G21" t="s">
        <v>372</v>
      </c>
      <c r="H21" t="s">
        <v>158</v>
      </c>
      <c r="I21" t="s">
        <v>373</v>
      </c>
      <c r="J21" t="s">
        <v>172</v>
      </c>
      <c r="K21">
        <v>1</v>
      </c>
      <c r="L21">
        <v>-3.5</v>
      </c>
      <c r="M21">
        <v>20</v>
      </c>
      <c r="N21">
        <v>23.5</v>
      </c>
    </row>
    <row r="22" spans="1:14">
      <c r="A22" t="s">
        <v>376</v>
      </c>
      <c r="B22" t="s">
        <v>377</v>
      </c>
      <c r="C22" t="s">
        <v>378</v>
      </c>
      <c r="D22" t="s">
        <v>155</v>
      </c>
      <c r="E22" t="s">
        <v>331</v>
      </c>
      <c r="F22" t="s">
        <v>158</v>
      </c>
      <c r="G22" t="s">
        <v>158</v>
      </c>
      <c r="H22" t="s">
        <v>158</v>
      </c>
      <c r="I22" t="s">
        <v>158</v>
      </c>
      <c r="J22" t="s">
        <v>379</v>
      </c>
      <c r="K22">
        <v>1</v>
      </c>
      <c r="L22">
        <v>-1</v>
      </c>
      <c r="M22">
        <v>20</v>
      </c>
      <c r="N22">
        <v>21</v>
      </c>
    </row>
    <row r="23" spans="1:14">
      <c r="A23" t="s">
        <v>296</v>
      </c>
      <c r="B23" t="s">
        <v>380</v>
      </c>
      <c r="C23" t="s">
        <v>381</v>
      </c>
      <c r="D23" t="s">
        <v>155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  <c r="J23" t="s">
        <v>387</v>
      </c>
      <c r="K23">
        <v>2</v>
      </c>
      <c r="L23">
        <v>3.5</v>
      </c>
      <c r="M23">
        <v>20</v>
      </c>
      <c r="N23">
        <v>16.5</v>
      </c>
    </row>
    <row r="24" spans="1:14">
      <c r="A24" t="s">
        <v>311</v>
      </c>
      <c r="B24" t="s">
        <v>388</v>
      </c>
      <c r="C24" t="s">
        <v>378</v>
      </c>
      <c r="D24" t="s">
        <v>155</v>
      </c>
      <c r="E24" t="s">
        <v>331</v>
      </c>
      <c r="F24" t="s">
        <v>158</v>
      </c>
      <c r="G24" t="s">
        <v>331</v>
      </c>
      <c r="H24" t="s">
        <v>158</v>
      </c>
      <c r="I24" t="s">
        <v>331</v>
      </c>
      <c r="J24" t="s">
        <v>389</v>
      </c>
      <c r="K24">
        <v>1</v>
      </c>
      <c r="L24">
        <v>1.5</v>
      </c>
      <c r="M24">
        <v>20</v>
      </c>
      <c r="N24">
        <v>18.5</v>
      </c>
    </row>
    <row r="25" spans="1:14">
      <c r="A25" t="s">
        <v>219</v>
      </c>
      <c r="B25" t="s">
        <v>390</v>
      </c>
      <c r="C25" t="s">
        <v>378</v>
      </c>
      <c r="D25" t="s">
        <v>155</v>
      </c>
      <c r="E25" t="s">
        <v>158</v>
      </c>
      <c r="F25" t="s">
        <v>158</v>
      </c>
      <c r="G25" t="s">
        <v>158</v>
      </c>
      <c r="H25" t="s">
        <v>158</v>
      </c>
      <c r="I25" t="s">
        <v>158</v>
      </c>
      <c r="J25" t="s">
        <v>391</v>
      </c>
      <c r="K25">
        <v>0</v>
      </c>
      <c r="L25">
        <v>5</v>
      </c>
      <c r="M25">
        <v>20</v>
      </c>
      <c r="N25">
        <v>15</v>
      </c>
    </row>
    <row r="26" spans="1:14">
      <c r="A26" t="s">
        <v>221</v>
      </c>
      <c r="B26" t="s">
        <v>392</v>
      </c>
      <c r="C26" t="s">
        <v>378</v>
      </c>
      <c r="D26" t="s">
        <v>155</v>
      </c>
      <c r="E26" t="s">
        <v>393</v>
      </c>
      <c r="F26" t="s">
        <v>331</v>
      </c>
      <c r="G26" t="s">
        <v>394</v>
      </c>
      <c r="H26" t="s">
        <v>158</v>
      </c>
      <c r="I26" t="s">
        <v>394</v>
      </c>
      <c r="J26" t="s">
        <v>379</v>
      </c>
      <c r="K26">
        <v>20</v>
      </c>
      <c r="L26">
        <v>0</v>
      </c>
      <c r="M26">
        <v>20</v>
      </c>
      <c r="N26">
        <v>20</v>
      </c>
    </row>
    <row r="27" spans="1:14">
      <c r="A27" t="s">
        <v>233</v>
      </c>
      <c r="B27" t="s">
        <v>395</v>
      </c>
      <c r="C27" t="s">
        <v>378</v>
      </c>
      <c r="D27" t="s">
        <v>155</v>
      </c>
      <c r="E27" t="s">
        <v>158</v>
      </c>
      <c r="F27" t="s">
        <v>158</v>
      </c>
      <c r="G27" t="s">
        <v>163</v>
      </c>
      <c r="H27" t="s">
        <v>158</v>
      </c>
      <c r="I27" t="s">
        <v>163</v>
      </c>
      <c r="J27" t="s">
        <v>396</v>
      </c>
      <c r="K27">
        <v>0</v>
      </c>
      <c r="L27">
        <v>1.5</v>
      </c>
      <c r="M27">
        <v>20</v>
      </c>
      <c r="N27">
        <v>18.5</v>
      </c>
    </row>
    <row r="28" spans="1:14">
      <c r="A28" t="s">
        <v>277</v>
      </c>
      <c r="B28" t="s">
        <v>397</v>
      </c>
      <c r="C28" t="s">
        <v>378</v>
      </c>
      <c r="D28" t="s">
        <v>155</v>
      </c>
      <c r="E28" t="s">
        <v>158</v>
      </c>
      <c r="F28" t="s">
        <v>158</v>
      </c>
      <c r="G28" t="s">
        <v>158</v>
      </c>
      <c r="H28" t="s">
        <v>158</v>
      </c>
      <c r="I28" t="s">
        <v>158</v>
      </c>
      <c r="J28" t="s">
        <v>398</v>
      </c>
      <c r="K28">
        <v>0</v>
      </c>
      <c r="L28">
        <v>1</v>
      </c>
      <c r="M28">
        <v>20</v>
      </c>
      <c r="N28">
        <v>19</v>
      </c>
    </row>
    <row r="29" spans="1:14">
      <c r="A29" t="s">
        <v>399</v>
      </c>
      <c r="B29" t="s">
        <v>400</v>
      </c>
      <c r="C29" t="s">
        <v>378</v>
      </c>
      <c r="D29" t="s">
        <v>155</v>
      </c>
      <c r="E29" t="s">
        <v>401</v>
      </c>
      <c r="F29" t="s">
        <v>158</v>
      </c>
      <c r="G29" t="s">
        <v>158</v>
      </c>
      <c r="H29" t="s">
        <v>158</v>
      </c>
      <c r="I29" t="s">
        <v>158</v>
      </c>
      <c r="J29" t="s">
        <v>402</v>
      </c>
      <c r="K29">
        <v>3</v>
      </c>
      <c r="L29">
        <v>2</v>
      </c>
      <c r="M29">
        <v>20</v>
      </c>
      <c r="N29">
        <v>18</v>
      </c>
    </row>
    <row r="30" spans="1:14">
      <c r="A30" t="s">
        <v>403</v>
      </c>
      <c r="B30" t="s">
        <v>404</v>
      </c>
      <c r="C30" t="s">
        <v>405</v>
      </c>
      <c r="D30" t="s">
        <v>155</v>
      </c>
      <c r="E30" t="s">
        <v>158</v>
      </c>
      <c r="F30" t="s">
        <v>158</v>
      </c>
      <c r="G30" t="s">
        <v>406</v>
      </c>
      <c r="H30" t="s">
        <v>407</v>
      </c>
      <c r="I30" t="s">
        <v>408</v>
      </c>
      <c r="J30" t="s">
        <v>409</v>
      </c>
      <c r="K30">
        <v>0</v>
      </c>
      <c r="L30">
        <v>11</v>
      </c>
      <c r="M30">
        <v>20</v>
      </c>
      <c r="N30">
        <v>9</v>
      </c>
    </row>
    <row r="31" spans="1:14">
      <c r="A31" t="s">
        <v>313</v>
      </c>
      <c r="B31" t="s">
        <v>410</v>
      </c>
      <c r="C31" t="s">
        <v>378</v>
      </c>
      <c r="D31" t="s">
        <v>155</v>
      </c>
      <c r="E31" t="s">
        <v>158</v>
      </c>
      <c r="F31" t="s">
        <v>158</v>
      </c>
      <c r="G31" t="s">
        <v>158</v>
      </c>
      <c r="H31" t="s">
        <v>158</v>
      </c>
      <c r="I31" t="s">
        <v>158</v>
      </c>
      <c r="J31" t="s">
        <v>396</v>
      </c>
      <c r="K31">
        <v>0</v>
      </c>
      <c r="L31">
        <v>1</v>
      </c>
      <c r="M31">
        <v>20</v>
      </c>
      <c r="N31">
        <v>19</v>
      </c>
    </row>
    <row r="32" spans="1:14">
      <c r="A32" t="s">
        <v>284</v>
      </c>
      <c r="B32" t="s">
        <v>411</v>
      </c>
      <c r="C32" t="s">
        <v>367</v>
      </c>
      <c r="D32" t="s">
        <v>155</v>
      </c>
      <c r="E32" t="s">
        <v>158</v>
      </c>
      <c r="F32" t="s">
        <v>158</v>
      </c>
      <c r="G32" t="s">
        <v>331</v>
      </c>
      <c r="H32" t="s">
        <v>158</v>
      </c>
      <c r="I32" t="s">
        <v>331</v>
      </c>
      <c r="J32" t="s">
        <v>412</v>
      </c>
      <c r="K32">
        <v>0</v>
      </c>
      <c r="L32">
        <v>0.5</v>
      </c>
      <c r="M32">
        <v>20</v>
      </c>
      <c r="N32">
        <v>19.5</v>
      </c>
    </row>
    <row r="33" spans="1:14">
      <c r="A33" t="s">
        <v>264</v>
      </c>
      <c r="B33" t="s">
        <v>413</v>
      </c>
      <c r="C33" t="s">
        <v>381</v>
      </c>
      <c r="D33" t="s">
        <v>155</v>
      </c>
      <c r="E33" t="s">
        <v>414</v>
      </c>
      <c r="F33" t="s">
        <v>415</v>
      </c>
      <c r="G33" t="s">
        <v>416</v>
      </c>
      <c r="H33" t="s">
        <v>417</v>
      </c>
      <c r="I33" t="s">
        <v>418</v>
      </c>
      <c r="J33" t="s">
        <v>419</v>
      </c>
      <c r="K33">
        <v>4</v>
      </c>
      <c r="L33">
        <v>7.5</v>
      </c>
      <c r="M33">
        <v>20</v>
      </c>
      <c r="N33">
        <v>12.5</v>
      </c>
    </row>
    <row r="34" spans="1:14">
      <c r="A34" t="s">
        <v>420</v>
      </c>
      <c r="B34" t="s">
        <v>421</v>
      </c>
      <c r="C34" t="s">
        <v>367</v>
      </c>
      <c r="D34" t="s">
        <v>155</v>
      </c>
      <c r="E34" t="s">
        <v>158</v>
      </c>
      <c r="F34" t="s">
        <v>158</v>
      </c>
      <c r="G34" t="s">
        <v>158</v>
      </c>
      <c r="H34" t="s">
        <v>158</v>
      </c>
      <c r="I34" t="s">
        <v>158</v>
      </c>
      <c r="J34" t="s">
        <v>422</v>
      </c>
      <c r="K34">
        <v>0</v>
      </c>
      <c r="L34">
        <v>10</v>
      </c>
      <c r="M34">
        <v>20</v>
      </c>
      <c r="N34">
        <v>10</v>
      </c>
    </row>
    <row r="35" spans="1:14">
      <c r="A35" t="s">
        <v>423</v>
      </c>
      <c r="B35" t="s">
        <v>424</v>
      </c>
      <c r="C35" t="s">
        <v>367</v>
      </c>
      <c r="D35" t="s">
        <v>155</v>
      </c>
      <c r="E35" t="s">
        <v>158</v>
      </c>
      <c r="F35" t="s">
        <v>171</v>
      </c>
      <c r="G35" t="s">
        <v>394</v>
      </c>
      <c r="H35" t="s">
        <v>158</v>
      </c>
      <c r="I35" t="s">
        <v>394</v>
      </c>
      <c r="J35" t="s">
        <v>425</v>
      </c>
      <c r="K35">
        <v>0</v>
      </c>
      <c r="L35">
        <v>1</v>
      </c>
      <c r="M35">
        <v>20</v>
      </c>
      <c r="N35">
        <v>19</v>
      </c>
    </row>
    <row r="36" spans="1:14">
      <c r="A36" t="s">
        <v>261</v>
      </c>
      <c r="B36" t="s">
        <v>426</v>
      </c>
      <c r="C36" t="s">
        <v>367</v>
      </c>
      <c r="D36" t="s">
        <v>155</v>
      </c>
      <c r="E36" t="s">
        <v>158</v>
      </c>
      <c r="F36" t="s">
        <v>156</v>
      </c>
      <c r="G36" t="s">
        <v>427</v>
      </c>
      <c r="H36" t="s">
        <v>158</v>
      </c>
      <c r="I36" t="s">
        <v>427</v>
      </c>
      <c r="J36" t="s">
        <v>379</v>
      </c>
      <c r="K36">
        <v>0</v>
      </c>
      <c r="L36">
        <v>0</v>
      </c>
      <c r="M36">
        <v>20</v>
      </c>
      <c r="N36">
        <v>20</v>
      </c>
    </row>
    <row r="37" spans="1:14">
      <c r="A37" t="s">
        <v>260</v>
      </c>
      <c r="B37" t="s">
        <v>428</v>
      </c>
      <c r="C37" t="s">
        <v>367</v>
      </c>
      <c r="D37" t="s">
        <v>155</v>
      </c>
      <c r="E37" t="s">
        <v>167</v>
      </c>
      <c r="F37" t="s">
        <v>158</v>
      </c>
      <c r="G37" t="s">
        <v>429</v>
      </c>
      <c r="H37" t="s">
        <v>158</v>
      </c>
      <c r="I37" t="s">
        <v>429</v>
      </c>
      <c r="J37" t="s">
        <v>430</v>
      </c>
      <c r="K37">
        <v>1</v>
      </c>
      <c r="L37">
        <v>1</v>
      </c>
      <c r="M37">
        <v>20</v>
      </c>
      <c r="N37">
        <v>19</v>
      </c>
    </row>
    <row r="38" spans="1:14">
      <c r="A38" t="s">
        <v>292</v>
      </c>
      <c r="B38" t="s">
        <v>431</v>
      </c>
      <c r="C38" t="s">
        <v>381</v>
      </c>
      <c r="D38" t="s">
        <v>155</v>
      </c>
      <c r="E38" t="s">
        <v>158</v>
      </c>
      <c r="F38" t="s">
        <v>432</v>
      </c>
      <c r="G38" t="s">
        <v>433</v>
      </c>
      <c r="H38" t="s">
        <v>434</v>
      </c>
      <c r="I38" t="s">
        <v>435</v>
      </c>
      <c r="J38" t="s">
        <v>169</v>
      </c>
      <c r="K38">
        <v>0</v>
      </c>
      <c r="L38">
        <v>2.5</v>
      </c>
      <c r="M38">
        <v>20</v>
      </c>
      <c r="N38">
        <v>17.5</v>
      </c>
    </row>
    <row r="39" spans="1:14">
      <c r="A39" t="s">
        <v>436</v>
      </c>
      <c r="B39" t="s">
        <v>437</v>
      </c>
      <c r="C39" t="s">
        <v>381</v>
      </c>
      <c r="D39" t="s">
        <v>155</v>
      </c>
      <c r="E39" t="s">
        <v>158</v>
      </c>
      <c r="F39" t="s">
        <v>438</v>
      </c>
      <c r="G39" t="s">
        <v>439</v>
      </c>
      <c r="H39" t="s">
        <v>440</v>
      </c>
      <c r="I39" t="s">
        <v>441</v>
      </c>
      <c r="J39" t="s">
        <v>442</v>
      </c>
      <c r="K39">
        <v>0</v>
      </c>
      <c r="L39">
        <v>2</v>
      </c>
      <c r="M39">
        <v>20</v>
      </c>
      <c r="N39">
        <v>18</v>
      </c>
    </row>
    <row r="40" spans="1:14">
      <c r="A40" t="s">
        <v>443</v>
      </c>
      <c r="B40" t="s">
        <v>444</v>
      </c>
      <c r="C40" t="s">
        <v>405</v>
      </c>
      <c r="D40" t="s">
        <v>155</v>
      </c>
      <c r="E40" t="s">
        <v>158</v>
      </c>
      <c r="F40" t="s">
        <v>158</v>
      </c>
      <c r="G40" t="s">
        <v>445</v>
      </c>
      <c r="H40" t="s">
        <v>158</v>
      </c>
      <c r="I40" t="s">
        <v>446</v>
      </c>
      <c r="J40" t="s">
        <v>328</v>
      </c>
      <c r="K40">
        <v>0</v>
      </c>
      <c r="L40">
        <v>9</v>
      </c>
      <c r="M40">
        <v>20</v>
      </c>
      <c r="N40">
        <v>11</v>
      </c>
    </row>
    <row r="41" spans="1:14">
      <c r="A41" t="s">
        <v>447</v>
      </c>
      <c r="B41" t="s">
        <v>448</v>
      </c>
      <c r="C41" t="s">
        <v>405</v>
      </c>
      <c r="D41" t="s">
        <v>155</v>
      </c>
      <c r="E41" t="s">
        <v>170</v>
      </c>
      <c r="F41" t="s">
        <v>158</v>
      </c>
      <c r="G41" t="s">
        <v>170</v>
      </c>
      <c r="H41" t="s">
        <v>158</v>
      </c>
      <c r="I41" t="s">
        <v>170</v>
      </c>
      <c r="J41" t="s">
        <v>449</v>
      </c>
      <c r="K41">
        <v>1</v>
      </c>
      <c r="L41">
        <v>19.5</v>
      </c>
      <c r="M41">
        <v>20</v>
      </c>
      <c r="N41">
        <v>0.5</v>
      </c>
    </row>
    <row r="42" spans="1:14">
      <c r="A42" t="s">
        <v>254</v>
      </c>
      <c r="B42" t="s">
        <v>450</v>
      </c>
      <c r="C42" t="s">
        <v>343</v>
      </c>
      <c r="D42" t="s">
        <v>155</v>
      </c>
      <c r="E42" t="s">
        <v>158</v>
      </c>
      <c r="F42" t="s">
        <v>158</v>
      </c>
      <c r="G42" t="s">
        <v>158</v>
      </c>
      <c r="H42" t="s">
        <v>158</v>
      </c>
      <c r="I42" t="s">
        <v>158</v>
      </c>
      <c r="J42" t="s">
        <v>451</v>
      </c>
      <c r="K42">
        <v>0</v>
      </c>
      <c r="L42">
        <v>1</v>
      </c>
      <c r="M42">
        <v>20</v>
      </c>
      <c r="N42">
        <v>19</v>
      </c>
    </row>
    <row r="43" spans="1:14">
      <c r="A43" t="s">
        <v>257</v>
      </c>
      <c r="B43" t="s">
        <v>452</v>
      </c>
      <c r="C43" t="s">
        <v>343</v>
      </c>
      <c r="D43" t="s">
        <v>155</v>
      </c>
      <c r="E43" t="s">
        <v>158</v>
      </c>
      <c r="F43" t="s">
        <v>158</v>
      </c>
      <c r="G43" t="s">
        <v>158</v>
      </c>
      <c r="H43" t="s">
        <v>158</v>
      </c>
      <c r="I43" t="s">
        <v>158</v>
      </c>
      <c r="J43" t="s">
        <v>453</v>
      </c>
      <c r="K43">
        <v>0</v>
      </c>
      <c r="L43">
        <v>3</v>
      </c>
      <c r="M43">
        <v>20</v>
      </c>
      <c r="N43">
        <v>17</v>
      </c>
    </row>
    <row r="44" spans="1:14">
      <c r="A44" t="s">
        <v>273</v>
      </c>
      <c r="B44" t="s">
        <v>454</v>
      </c>
      <c r="C44" t="s">
        <v>367</v>
      </c>
      <c r="D44" t="s">
        <v>155</v>
      </c>
      <c r="E44" t="s">
        <v>158</v>
      </c>
      <c r="F44" t="s">
        <v>158</v>
      </c>
      <c r="G44" t="s">
        <v>331</v>
      </c>
      <c r="H44" t="s">
        <v>158</v>
      </c>
      <c r="I44" t="s">
        <v>331</v>
      </c>
      <c r="J44" t="s">
        <v>455</v>
      </c>
      <c r="K44">
        <v>0</v>
      </c>
      <c r="L44">
        <v>0.5</v>
      </c>
      <c r="M44">
        <v>20</v>
      </c>
      <c r="N44">
        <v>19.5</v>
      </c>
    </row>
    <row r="45" spans="1:14">
      <c r="A45" t="s">
        <v>312</v>
      </c>
      <c r="B45" t="s">
        <v>456</v>
      </c>
      <c r="C45" t="s">
        <v>367</v>
      </c>
      <c r="D45" t="s">
        <v>155</v>
      </c>
      <c r="E45" t="s">
        <v>158</v>
      </c>
      <c r="F45" t="s">
        <v>158</v>
      </c>
      <c r="G45" t="s">
        <v>331</v>
      </c>
      <c r="H45" t="s">
        <v>158</v>
      </c>
      <c r="I45" t="s">
        <v>331</v>
      </c>
      <c r="J45" t="s">
        <v>457</v>
      </c>
      <c r="K45">
        <v>0</v>
      </c>
      <c r="L45">
        <v>0.5</v>
      </c>
      <c r="M45">
        <v>20</v>
      </c>
      <c r="N45">
        <v>19.5</v>
      </c>
    </row>
    <row r="46" spans="1:14">
      <c r="A46" t="s">
        <v>235</v>
      </c>
      <c r="B46" t="s">
        <v>458</v>
      </c>
      <c r="C46" t="s">
        <v>378</v>
      </c>
      <c r="D46" t="s">
        <v>155</v>
      </c>
      <c r="E46" t="s">
        <v>158</v>
      </c>
      <c r="F46" t="s">
        <v>172</v>
      </c>
      <c r="G46" t="s">
        <v>172</v>
      </c>
      <c r="H46" t="s">
        <v>158</v>
      </c>
      <c r="I46" t="s">
        <v>172</v>
      </c>
      <c r="J46" t="s">
        <v>459</v>
      </c>
      <c r="K46">
        <v>0</v>
      </c>
      <c r="L46">
        <v>7.5</v>
      </c>
      <c r="M46">
        <v>20</v>
      </c>
      <c r="N46">
        <v>12.5</v>
      </c>
    </row>
    <row r="47" spans="1:14">
      <c r="A47" t="s">
        <v>308</v>
      </c>
      <c r="B47" t="s">
        <v>460</v>
      </c>
      <c r="C47" t="s">
        <v>378</v>
      </c>
      <c r="D47" t="s">
        <v>155</v>
      </c>
      <c r="E47" t="s">
        <v>461</v>
      </c>
      <c r="F47" t="s">
        <v>158</v>
      </c>
      <c r="G47" t="s">
        <v>158</v>
      </c>
      <c r="H47" t="s">
        <v>158</v>
      </c>
      <c r="I47" t="s">
        <v>158</v>
      </c>
      <c r="J47" t="s">
        <v>462</v>
      </c>
      <c r="K47">
        <v>4</v>
      </c>
      <c r="L47">
        <v>2</v>
      </c>
      <c r="M47">
        <v>20</v>
      </c>
      <c r="N47">
        <v>18</v>
      </c>
    </row>
    <row r="48" spans="1:14">
      <c r="A48" t="s">
        <v>304</v>
      </c>
      <c r="B48" t="s">
        <v>463</v>
      </c>
      <c r="C48" t="s">
        <v>153</v>
      </c>
      <c r="D48" t="s">
        <v>155</v>
      </c>
      <c r="E48" t="s">
        <v>464</v>
      </c>
      <c r="F48" t="s">
        <v>158</v>
      </c>
      <c r="G48" t="s">
        <v>464</v>
      </c>
      <c r="H48" t="s">
        <v>465</v>
      </c>
      <c r="I48" t="s">
        <v>158</v>
      </c>
      <c r="J48" t="s">
        <v>466</v>
      </c>
      <c r="K48">
        <v>10</v>
      </c>
      <c r="L48">
        <v>6</v>
      </c>
      <c r="M48">
        <v>20</v>
      </c>
      <c r="N48">
        <v>14</v>
      </c>
    </row>
    <row r="49" spans="1:14">
      <c r="A49" t="s">
        <v>294</v>
      </c>
      <c r="B49" t="s">
        <v>467</v>
      </c>
      <c r="C49" t="s">
        <v>378</v>
      </c>
      <c r="D49" t="s">
        <v>155</v>
      </c>
      <c r="E49" t="s">
        <v>468</v>
      </c>
      <c r="F49" t="s">
        <v>176</v>
      </c>
      <c r="G49" t="s">
        <v>176</v>
      </c>
      <c r="H49" t="s">
        <v>158</v>
      </c>
      <c r="I49" t="s">
        <v>176</v>
      </c>
      <c r="J49" t="s">
        <v>469</v>
      </c>
      <c r="K49">
        <v>6</v>
      </c>
      <c r="L49">
        <v>1.5</v>
      </c>
      <c r="M49">
        <v>20</v>
      </c>
      <c r="N49">
        <v>18.5</v>
      </c>
    </row>
    <row r="50" spans="1:14">
      <c r="A50" t="s">
        <v>470</v>
      </c>
      <c r="B50" t="s">
        <v>471</v>
      </c>
      <c r="C50" t="s">
        <v>367</v>
      </c>
      <c r="D50" t="s">
        <v>155</v>
      </c>
      <c r="E50" t="s">
        <v>158</v>
      </c>
      <c r="F50" t="s">
        <v>158</v>
      </c>
      <c r="G50" t="s">
        <v>331</v>
      </c>
      <c r="H50" t="s">
        <v>158</v>
      </c>
      <c r="I50" t="s">
        <v>331</v>
      </c>
      <c r="J50" t="s">
        <v>389</v>
      </c>
      <c r="K50">
        <v>0</v>
      </c>
      <c r="L50">
        <v>1.5</v>
      </c>
      <c r="M50">
        <v>20</v>
      </c>
      <c r="N50">
        <v>18.5</v>
      </c>
    </row>
    <row r="51" spans="1:14">
      <c r="A51" t="s">
        <v>472</v>
      </c>
      <c r="B51" t="s">
        <v>473</v>
      </c>
      <c r="C51" t="s">
        <v>367</v>
      </c>
      <c r="D51" t="s">
        <v>155</v>
      </c>
      <c r="E51" t="s">
        <v>474</v>
      </c>
      <c r="F51" t="s">
        <v>474</v>
      </c>
      <c r="G51" t="s">
        <v>475</v>
      </c>
      <c r="H51" t="s">
        <v>158</v>
      </c>
      <c r="I51" t="s">
        <v>475</v>
      </c>
      <c r="J51" t="s">
        <v>476</v>
      </c>
      <c r="K51">
        <v>4</v>
      </c>
      <c r="L51">
        <v>1</v>
      </c>
      <c r="M51">
        <v>20</v>
      </c>
      <c r="N51">
        <v>19</v>
      </c>
    </row>
    <row r="52" spans="1:14">
      <c r="A52" t="s">
        <v>477</v>
      </c>
      <c r="B52" t="s">
        <v>478</v>
      </c>
      <c r="C52" t="s">
        <v>378</v>
      </c>
      <c r="D52" t="s">
        <v>155</v>
      </c>
      <c r="E52" t="s">
        <v>158</v>
      </c>
      <c r="F52" t="s">
        <v>158</v>
      </c>
      <c r="G52" t="s">
        <v>158</v>
      </c>
      <c r="H52" t="s">
        <v>158</v>
      </c>
      <c r="I52" t="s">
        <v>158</v>
      </c>
      <c r="J52" t="s">
        <v>333</v>
      </c>
      <c r="K52">
        <v>0</v>
      </c>
      <c r="L52">
        <v>0</v>
      </c>
      <c r="M52">
        <v>20</v>
      </c>
      <c r="N52">
        <v>20</v>
      </c>
    </row>
    <row r="53" spans="1:14">
      <c r="A53" t="s">
        <v>299</v>
      </c>
      <c r="B53" t="s">
        <v>479</v>
      </c>
      <c r="C53" t="s">
        <v>405</v>
      </c>
      <c r="D53" t="s">
        <v>155</v>
      </c>
      <c r="E53" t="s">
        <v>161</v>
      </c>
      <c r="F53" t="s">
        <v>480</v>
      </c>
      <c r="G53" t="s">
        <v>481</v>
      </c>
      <c r="H53" t="s">
        <v>158</v>
      </c>
      <c r="I53" t="s">
        <v>482</v>
      </c>
      <c r="J53" t="s">
        <v>483</v>
      </c>
      <c r="K53">
        <v>2</v>
      </c>
      <c r="L53">
        <v>10.5</v>
      </c>
      <c r="M53">
        <v>20</v>
      </c>
      <c r="N53">
        <v>9.5</v>
      </c>
    </row>
    <row r="54" spans="1:14">
      <c r="A54" t="s">
        <v>316</v>
      </c>
      <c r="B54" t="s">
        <v>484</v>
      </c>
      <c r="C54" t="s">
        <v>367</v>
      </c>
      <c r="D54" t="s">
        <v>155</v>
      </c>
      <c r="E54" t="s">
        <v>158</v>
      </c>
      <c r="F54" t="s">
        <v>158</v>
      </c>
      <c r="G54" t="s">
        <v>331</v>
      </c>
      <c r="H54" t="s">
        <v>158</v>
      </c>
      <c r="I54" t="s">
        <v>331</v>
      </c>
      <c r="J54" t="s">
        <v>485</v>
      </c>
      <c r="K54">
        <v>0</v>
      </c>
      <c r="L54">
        <v>1.5</v>
      </c>
      <c r="M54">
        <v>20</v>
      </c>
      <c r="N54">
        <v>18.5</v>
      </c>
    </row>
    <row r="55" spans="1:14">
      <c r="A55" t="s">
        <v>486</v>
      </c>
      <c r="B55" t="s">
        <v>487</v>
      </c>
      <c r="C55" t="s">
        <v>367</v>
      </c>
      <c r="D55" t="s">
        <v>155</v>
      </c>
      <c r="E55" t="s">
        <v>488</v>
      </c>
      <c r="F55" t="s">
        <v>489</v>
      </c>
      <c r="G55" t="s">
        <v>490</v>
      </c>
      <c r="H55" t="s">
        <v>158</v>
      </c>
      <c r="I55" t="s">
        <v>490</v>
      </c>
      <c r="J55" t="s">
        <v>491</v>
      </c>
      <c r="K55">
        <v>2</v>
      </c>
      <c r="L55">
        <v>0</v>
      </c>
      <c r="M55">
        <v>20</v>
      </c>
      <c r="N55">
        <v>20</v>
      </c>
    </row>
    <row r="56" spans="1:14">
      <c r="A56" t="s">
        <v>282</v>
      </c>
      <c r="B56" t="s">
        <v>492</v>
      </c>
      <c r="C56" t="s">
        <v>378</v>
      </c>
      <c r="D56" t="s">
        <v>155</v>
      </c>
      <c r="E56" t="s">
        <v>158</v>
      </c>
      <c r="F56" t="s">
        <v>171</v>
      </c>
      <c r="G56" t="s">
        <v>171</v>
      </c>
      <c r="H56" t="s">
        <v>158</v>
      </c>
      <c r="I56" t="s">
        <v>171</v>
      </c>
      <c r="J56" t="s">
        <v>398</v>
      </c>
      <c r="K56">
        <v>0</v>
      </c>
      <c r="L56">
        <v>1.5</v>
      </c>
      <c r="M56">
        <v>20</v>
      </c>
      <c r="N56">
        <v>18.5</v>
      </c>
    </row>
    <row r="57" spans="1:14">
      <c r="A57" t="s">
        <v>229</v>
      </c>
      <c r="B57" t="s">
        <v>493</v>
      </c>
      <c r="C57" t="s">
        <v>343</v>
      </c>
      <c r="D57" t="s">
        <v>155</v>
      </c>
      <c r="E57" t="s">
        <v>158</v>
      </c>
      <c r="F57" t="s">
        <v>158</v>
      </c>
      <c r="G57" t="s">
        <v>158</v>
      </c>
      <c r="H57" t="s">
        <v>158</v>
      </c>
      <c r="I57" t="s">
        <v>158</v>
      </c>
      <c r="J57" t="s">
        <v>494</v>
      </c>
      <c r="K57">
        <v>0</v>
      </c>
      <c r="L57">
        <v>3</v>
      </c>
      <c r="M57">
        <v>20</v>
      </c>
      <c r="N57">
        <v>17</v>
      </c>
    </row>
    <row r="58" spans="1:14">
      <c r="A58" t="s">
        <v>495</v>
      </c>
      <c r="B58" t="s">
        <v>496</v>
      </c>
      <c r="C58" t="s">
        <v>378</v>
      </c>
      <c r="D58" t="s">
        <v>155</v>
      </c>
      <c r="E58" t="s">
        <v>158</v>
      </c>
      <c r="F58" t="s">
        <v>158</v>
      </c>
      <c r="G58" t="s">
        <v>158</v>
      </c>
      <c r="H58" t="s">
        <v>158</v>
      </c>
      <c r="I58" t="s">
        <v>158</v>
      </c>
      <c r="J58" t="s">
        <v>333</v>
      </c>
      <c r="K58">
        <v>0</v>
      </c>
      <c r="L58">
        <v>0</v>
      </c>
      <c r="M58">
        <v>20</v>
      </c>
      <c r="N58">
        <v>20</v>
      </c>
    </row>
    <row r="59" spans="1:14">
      <c r="A59" t="s">
        <v>234</v>
      </c>
      <c r="B59" t="s">
        <v>497</v>
      </c>
      <c r="C59" t="s">
        <v>378</v>
      </c>
      <c r="D59" t="s">
        <v>155</v>
      </c>
      <c r="E59" t="s">
        <v>158</v>
      </c>
      <c r="F59" t="s">
        <v>158</v>
      </c>
      <c r="G59" t="s">
        <v>158</v>
      </c>
      <c r="H59" t="s">
        <v>158</v>
      </c>
      <c r="I59" t="s">
        <v>158</v>
      </c>
      <c r="J59" t="s">
        <v>498</v>
      </c>
      <c r="K59">
        <v>0</v>
      </c>
      <c r="L59">
        <v>3</v>
      </c>
      <c r="M59">
        <v>20</v>
      </c>
      <c r="N59">
        <v>17</v>
      </c>
    </row>
    <row r="60" spans="1:14">
      <c r="A60" t="s">
        <v>214</v>
      </c>
      <c r="B60" t="s">
        <v>499</v>
      </c>
      <c r="C60" t="s">
        <v>500</v>
      </c>
      <c r="D60" t="s">
        <v>155</v>
      </c>
      <c r="E60" t="s">
        <v>501</v>
      </c>
      <c r="F60" t="s">
        <v>158</v>
      </c>
      <c r="G60" t="s">
        <v>175</v>
      </c>
      <c r="H60" t="s">
        <v>175</v>
      </c>
      <c r="I60" t="s">
        <v>158</v>
      </c>
      <c r="J60" t="s">
        <v>398</v>
      </c>
      <c r="K60">
        <v>3</v>
      </c>
      <c r="L60">
        <v>1.5</v>
      </c>
      <c r="M60">
        <v>20</v>
      </c>
      <c r="N60">
        <v>18.5</v>
      </c>
    </row>
    <row r="61" spans="1:14">
      <c r="A61" t="s">
        <v>502</v>
      </c>
      <c r="B61" t="s">
        <v>503</v>
      </c>
      <c r="C61" t="s">
        <v>405</v>
      </c>
      <c r="D61" t="s">
        <v>155</v>
      </c>
      <c r="E61" t="s">
        <v>158</v>
      </c>
      <c r="F61" t="s">
        <v>504</v>
      </c>
      <c r="G61" t="s">
        <v>165</v>
      </c>
      <c r="H61" t="s">
        <v>158</v>
      </c>
      <c r="I61" t="s">
        <v>165</v>
      </c>
      <c r="J61" t="s">
        <v>333</v>
      </c>
      <c r="K61">
        <v>0</v>
      </c>
      <c r="L61">
        <v>0.5</v>
      </c>
      <c r="M61">
        <v>20</v>
      </c>
      <c r="N61">
        <v>19.5</v>
      </c>
    </row>
    <row r="62" spans="1:14">
      <c r="A62" t="s">
        <v>505</v>
      </c>
      <c r="B62" t="s">
        <v>506</v>
      </c>
      <c r="C62" t="s">
        <v>378</v>
      </c>
      <c r="D62" t="s">
        <v>155</v>
      </c>
      <c r="E62" t="s">
        <v>158</v>
      </c>
      <c r="F62" t="s">
        <v>157</v>
      </c>
      <c r="G62" t="s">
        <v>157</v>
      </c>
      <c r="H62" t="s">
        <v>158</v>
      </c>
      <c r="I62" t="s">
        <v>157</v>
      </c>
      <c r="J62" t="s">
        <v>333</v>
      </c>
      <c r="K62">
        <v>0</v>
      </c>
      <c r="L62">
        <v>0.5</v>
      </c>
      <c r="M62">
        <v>20</v>
      </c>
      <c r="N62">
        <v>19.5</v>
      </c>
    </row>
    <row r="63" spans="1:14">
      <c r="A63" t="s">
        <v>298</v>
      </c>
      <c r="B63" t="s">
        <v>507</v>
      </c>
      <c r="C63" t="s">
        <v>378</v>
      </c>
      <c r="D63" t="s">
        <v>155</v>
      </c>
      <c r="E63" t="s">
        <v>158</v>
      </c>
      <c r="F63" t="s">
        <v>508</v>
      </c>
      <c r="G63" t="s">
        <v>509</v>
      </c>
      <c r="H63" t="s">
        <v>510</v>
      </c>
      <c r="I63" t="s">
        <v>511</v>
      </c>
      <c r="J63" t="s">
        <v>512</v>
      </c>
      <c r="K63">
        <v>0</v>
      </c>
      <c r="L63">
        <v>5.5</v>
      </c>
      <c r="M63">
        <v>20</v>
      </c>
      <c r="N63">
        <v>14.5</v>
      </c>
    </row>
    <row r="64" spans="1:14">
      <c r="A64" t="s">
        <v>209</v>
      </c>
      <c r="B64" t="s">
        <v>513</v>
      </c>
      <c r="C64" t="s">
        <v>378</v>
      </c>
      <c r="D64" t="s">
        <v>155</v>
      </c>
      <c r="E64" t="s">
        <v>514</v>
      </c>
      <c r="F64" t="s">
        <v>170</v>
      </c>
      <c r="G64" t="s">
        <v>170</v>
      </c>
      <c r="H64" t="s">
        <v>158</v>
      </c>
      <c r="I64" t="s">
        <v>170</v>
      </c>
      <c r="J64" t="s">
        <v>515</v>
      </c>
      <c r="K64">
        <v>6</v>
      </c>
      <c r="L64">
        <v>1.5</v>
      </c>
      <c r="M64">
        <v>20</v>
      </c>
      <c r="N64">
        <v>18.5</v>
      </c>
    </row>
    <row r="65" spans="1:14">
      <c r="A65" t="s">
        <v>211</v>
      </c>
      <c r="B65" t="s">
        <v>516</v>
      </c>
      <c r="C65" t="s">
        <v>378</v>
      </c>
      <c r="D65" t="s">
        <v>155</v>
      </c>
      <c r="E65" t="s">
        <v>517</v>
      </c>
      <c r="F65" t="s">
        <v>158</v>
      </c>
      <c r="G65" t="s">
        <v>331</v>
      </c>
      <c r="H65" t="s">
        <v>158</v>
      </c>
      <c r="I65" t="s">
        <v>331</v>
      </c>
      <c r="J65" t="s">
        <v>379</v>
      </c>
      <c r="K65">
        <v>3</v>
      </c>
      <c r="L65">
        <v>-0.5</v>
      </c>
      <c r="M65">
        <v>20</v>
      </c>
      <c r="N65">
        <v>20.5</v>
      </c>
    </row>
    <row r="66" spans="1:14">
      <c r="A66" t="s">
        <v>310</v>
      </c>
      <c r="B66" t="s">
        <v>518</v>
      </c>
      <c r="C66" t="s">
        <v>343</v>
      </c>
      <c r="D66" t="s">
        <v>155</v>
      </c>
      <c r="E66" t="s">
        <v>158</v>
      </c>
      <c r="F66" t="s">
        <v>158</v>
      </c>
      <c r="G66" t="s">
        <v>162</v>
      </c>
      <c r="H66" t="s">
        <v>162</v>
      </c>
      <c r="I66" t="s">
        <v>158</v>
      </c>
      <c r="J66" t="s">
        <v>462</v>
      </c>
      <c r="K66">
        <v>0</v>
      </c>
      <c r="L66">
        <v>2.5</v>
      </c>
      <c r="M66">
        <v>20</v>
      </c>
      <c r="N66">
        <v>17.5</v>
      </c>
    </row>
    <row r="67" spans="1:14">
      <c r="A67" t="s">
        <v>241</v>
      </c>
      <c r="B67" t="s">
        <v>519</v>
      </c>
      <c r="C67" t="s">
        <v>381</v>
      </c>
      <c r="D67" t="s">
        <v>155</v>
      </c>
      <c r="E67" t="s">
        <v>520</v>
      </c>
      <c r="F67" t="s">
        <v>521</v>
      </c>
      <c r="G67" t="s">
        <v>522</v>
      </c>
      <c r="H67" t="s">
        <v>523</v>
      </c>
      <c r="I67" t="s">
        <v>524</v>
      </c>
      <c r="J67" t="s">
        <v>525</v>
      </c>
      <c r="K67">
        <v>7</v>
      </c>
      <c r="L67">
        <v>6</v>
      </c>
      <c r="M67">
        <v>20</v>
      </c>
      <c r="N67">
        <v>14</v>
      </c>
    </row>
    <row r="68" spans="1:14">
      <c r="A68" t="s">
        <v>240</v>
      </c>
      <c r="B68" t="s">
        <v>526</v>
      </c>
      <c r="C68" t="s">
        <v>378</v>
      </c>
      <c r="D68" t="s">
        <v>155</v>
      </c>
      <c r="E68" t="s">
        <v>527</v>
      </c>
      <c r="F68" t="s">
        <v>158</v>
      </c>
      <c r="G68" t="s">
        <v>528</v>
      </c>
      <c r="H68" t="s">
        <v>529</v>
      </c>
      <c r="I68" t="s">
        <v>331</v>
      </c>
      <c r="J68" t="s">
        <v>530</v>
      </c>
      <c r="K68">
        <v>18</v>
      </c>
      <c r="L68">
        <v>10</v>
      </c>
      <c r="M68">
        <v>20</v>
      </c>
      <c r="N68">
        <v>10</v>
      </c>
    </row>
    <row r="69" spans="1:14">
      <c r="A69" t="s">
        <v>314</v>
      </c>
      <c r="B69" t="s">
        <v>531</v>
      </c>
      <c r="C69" t="s">
        <v>367</v>
      </c>
      <c r="D69" t="s">
        <v>155</v>
      </c>
      <c r="E69" t="s">
        <v>158</v>
      </c>
      <c r="F69" t="s">
        <v>176</v>
      </c>
      <c r="G69" t="s">
        <v>532</v>
      </c>
      <c r="H69" t="s">
        <v>158</v>
      </c>
      <c r="I69" t="s">
        <v>533</v>
      </c>
      <c r="J69" t="s">
        <v>534</v>
      </c>
      <c r="K69">
        <v>0</v>
      </c>
      <c r="L69">
        <v>1</v>
      </c>
      <c r="M69">
        <v>20</v>
      </c>
      <c r="N69">
        <v>19</v>
      </c>
    </row>
    <row r="70" spans="1:14">
      <c r="A70" t="s">
        <v>212</v>
      </c>
      <c r="B70" t="s">
        <v>535</v>
      </c>
      <c r="C70" t="s">
        <v>367</v>
      </c>
      <c r="D70" t="s">
        <v>155</v>
      </c>
      <c r="E70" t="s">
        <v>158</v>
      </c>
      <c r="F70" t="s">
        <v>158</v>
      </c>
      <c r="G70" t="s">
        <v>331</v>
      </c>
      <c r="H70" t="s">
        <v>158</v>
      </c>
      <c r="I70" t="s">
        <v>331</v>
      </c>
      <c r="J70" t="s">
        <v>425</v>
      </c>
      <c r="K70">
        <v>0</v>
      </c>
      <c r="L70">
        <v>0.5</v>
      </c>
      <c r="M70">
        <v>20</v>
      </c>
      <c r="N70">
        <v>19.5</v>
      </c>
    </row>
    <row r="71" spans="1:14">
      <c r="A71" t="s">
        <v>536</v>
      </c>
      <c r="B71" t="s">
        <v>537</v>
      </c>
      <c r="C71" t="s">
        <v>405</v>
      </c>
      <c r="D71" t="s">
        <v>155</v>
      </c>
      <c r="E71" t="s">
        <v>158</v>
      </c>
      <c r="F71" t="s">
        <v>164</v>
      </c>
      <c r="G71" t="s">
        <v>538</v>
      </c>
      <c r="H71" t="s">
        <v>158</v>
      </c>
      <c r="I71" t="s">
        <v>539</v>
      </c>
      <c r="J71" t="s">
        <v>333</v>
      </c>
      <c r="K71">
        <v>0</v>
      </c>
      <c r="L71">
        <v>9.5</v>
      </c>
      <c r="M71">
        <v>20</v>
      </c>
      <c r="N71">
        <v>10.5</v>
      </c>
    </row>
    <row r="72" spans="1:14">
      <c r="A72" t="s">
        <v>285</v>
      </c>
      <c r="B72" t="s">
        <v>540</v>
      </c>
      <c r="C72" t="s">
        <v>367</v>
      </c>
      <c r="D72" t="s">
        <v>155</v>
      </c>
      <c r="E72" t="s">
        <v>541</v>
      </c>
      <c r="F72" t="s">
        <v>158</v>
      </c>
      <c r="G72" t="s">
        <v>372</v>
      </c>
      <c r="H72" t="s">
        <v>158</v>
      </c>
      <c r="I72" t="s">
        <v>373</v>
      </c>
      <c r="J72" t="s">
        <v>542</v>
      </c>
      <c r="K72">
        <v>2</v>
      </c>
      <c r="L72">
        <v>-2.5</v>
      </c>
      <c r="M72">
        <v>20</v>
      </c>
      <c r="N72">
        <v>22.5</v>
      </c>
    </row>
    <row r="73" spans="1:14">
      <c r="A73" t="s">
        <v>543</v>
      </c>
      <c r="B73" t="s">
        <v>544</v>
      </c>
      <c r="C73" t="s">
        <v>367</v>
      </c>
      <c r="D73" t="s">
        <v>155</v>
      </c>
      <c r="E73" t="s">
        <v>158</v>
      </c>
      <c r="F73" t="s">
        <v>158</v>
      </c>
      <c r="G73" t="s">
        <v>331</v>
      </c>
      <c r="H73" t="s">
        <v>158</v>
      </c>
      <c r="I73" t="s">
        <v>331</v>
      </c>
      <c r="J73" t="s">
        <v>379</v>
      </c>
      <c r="K73">
        <v>0</v>
      </c>
      <c r="L73">
        <v>-0.5</v>
      </c>
      <c r="M73">
        <v>20</v>
      </c>
      <c r="N73">
        <v>20.5</v>
      </c>
    </row>
    <row r="74" spans="1:14">
      <c r="A74" t="s">
        <v>545</v>
      </c>
      <c r="B74" t="s">
        <v>546</v>
      </c>
      <c r="C74" t="s">
        <v>381</v>
      </c>
      <c r="D74" t="s">
        <v>155</v>
      </c>
      <c r="E74" t="s">
        <v>547</v>
      </c>
      <c r="F74" t="s">
        <v>548</v>
      </c>
      <c r="G74" t="s">
        <v>549</v>
      </c>
      <c r="H74" t="s">
        <v>550</v>
      </c>
      <c r="I74" t="s">
        <v>551</v>
      </c>
      <c r="J74" t="s">
        <v>371</v>
      </c>
      <c r="K74">
        <v>4</v>
      </c>
      <c r="L74">
        <v>4.5</v>
      </c>
      <c r="M74">
        <v>20</v>
      </c>
      <c r="N74">
        <v>15.5</v>
      </c>
    </row>
    <row r="75" spans="1:14">
      <c r="A75" t="s">
        <v>262</v>
      </c>
      <c r="B75" t="s">
        <v>552</v>
      </c>
      <c r="C75" t="s">
        <v>367</v>
      </c>
      <c r="D75" t="s">
        <v>155</v>
      </c>
      <c r="E75" t="s">
        <v>553</v>
      </c>
      <c r="F75" t="s">
        <v>158</v>
      </c>
      <c r="G75" t="s">
        <v>331</v>
      </c>
      <c r="H75" t="s">
        <v>158</v>
      </c>
      <c r="I75" t="s">
        <v>331</v>
      </c>
      <c r="J75" t="s">
        <v>554</v>
      </c>
      <c r="K75">
        <v>16</v>
      </c>
      <c r="L75">
        <v>2.5</v>
      </c>
      <c r="M75">
        <v>20</v>
      </c>
      <c r="N75">
        <v>17.5</v>
      </c>
    </row>
    <row r="76" spans="1:14">
      <c r="A76" t="s">
        <v>293</v>
      </c>
      <c r="B76" t="s">
        <v>555</v>
      </c>
      <c r="C76" t="s">
        <v>367</v>
      </c>
      <c r="D76" t="s">
        <v>155</v>
      </c>
      <c r="E76" t="s">
        <v>556</v>
      </c>
      <c r="F76" t="s">
        <v>158</v>
      </c>
      <c r="G76" t="s">
        <v>331</v>
      </c>
      <c r="H76" t="s">
        <v>158</v>
      </c>
      <c r="I76" t="s">
        <v>331</v>
      </c>
      <c r="J76" t="s">
        <v>557</v>
      </c>
      <c r="K76">
        <v>3</v>
      </c>
      <c r="L76">
        <v>1.5</v>
      </c>
      <c r="M76">
        <v>20</v>
      </c>
      <c r="N76">
        <v>18.5</v>
      </c>
    </row>
    <row r="77" spans="1:14">
      <c r="A77" t="s">
        <v>558</v>
      </c>
      <c r="B77" t="s">
        <v>559</v>
      </c>
      <c r="C77" t="s">
        <v>367</v>
      </c>
      <c r="D77" t="s">
        <v>155</v>
      </c>
      <c r="E77" t="s">
        <v>159</v>
      </c>
      <c r="F77" t="s">
        <v>158</v>
      </c>
      <c r="G77" t="s">
        <v>331</v>
      </c>
      <c r="H77" t="s">
        <v>158</v>
      </c>
      <c r="I77" t="s">
        <v>331</v>
      </c>
      <c r="J77" t="s">
        <v>560</v>
      </c>
      <c r="K77">
        <v>1</v>
      </c>
      <c r="L77">
        <v>0.5</v>
      </c>
      <c r="M77">
        <v>20</v>
      </c>
      <c r="N77">
        <v>19.5</v>
      </c>
    </row>
    <row r="78" spans="1:14">
      <c r="A78" t="s">
        <v>267</v>
      </c>
      <c r="B78" t="s">
        <v>561</v>
      </c>
      <c r="C78" t="s">
        <v>381</v>
      </c>
      <c r="D78" t="s">
        <v>155</v>
      </c>
      <c r="E78" t="s">
        <v>562</v>
      </c>
      <c r="F78" t="s">
        <v>563</v>
      </c>
      <c r="G78" t="s">
        <v>564</v>
      </c>
      <c r="H78" t="s">
        <v>565</v>
      </c>
      <c r="I78" t="s">
        <v>566</v>
      </c>
      <c r="J78" t="s">
        <v>567</v>
      </c>
      <c r="K78">
        <v>5</v>
      </c>
      <c r="L78">
        <v>6.5</v>
      </c>
      <c r="M78">
        <v>20</v>
      </c>
      <c r="N78">
        <v>13.5</v>
      </c>
    </row>
    <row r="79" spans="1:14">
      <c r="A79" t="s">
        <v>303</v>
      </c>
      <c r="B79" t="s">
        <v>568</v>
      </c>
      <c r="C79" t="s">
        <v>378</v>
      </c>
      <c r="D79" t="s">
        <v>155</v>
      </c>
      <c r="E79" t="s">
        <v>331</v>
      </c>
      <c r="F79" t="s">
        <v>158</v>
      </c>
      <c r="G79" t="s">
        <v>331</v>
      </c>
      <c r="H79" t="s">
        <v>158</v>
      </c>
      <c r="I79" t="s">
        <v>331</v>
      </c>
      <c r="J79" t="s">
        <v>534</v>
      </c>
      <c r="K79">
        <v>1</v>
      </c>
      <c r="L79">
        <v>0.5</v>
      </c>
      <c r="M79">
        <v>20</v>
      </c>
      <c r="N79">
        <v>19.5</v>
      </c>
    </row>
    <row r="80" spans="1:14">
      <c r="A80" t="s">
        <v>223</v>
      </c>
      <c r="B80" t="s">
        <v>569</v>
      </c>
      <c r="C80" t="s">
        <v>378</v>
      </c>
      <c r="D80" t="s">
        <v>155</v>
      </c>
      <c r="E80" t="s">
        <v>570</v>
      </c>
      <c r="F80" t="s">
        <v>158</v>
      </c>
      <c r="G80" t="s">
        <v>159</v>
      </c>
      <c r="H80" t="s">
        <v>159</v>
      </c>
      <c r="I80" t="s">
        <v>158</v>
      </c>
      <c r="J80" t="s">
        <v>333</v>
      </c>
      <c r="K80">
        <v>14</v>
      </c>
      <c r="L80">
        <v>0.5</v>
      </c>
      <c r="M80">
        <v>20</v>
      </c>
      <c r="N80">
        <v>19.5</v>
      </c>
    </row>
    <row r="81" spans="1:14">
      <c r="A81" t="s">
        <v>295</v>
      </c>
      <c r="B81" t="s">
        <v>571</v>
      </c>
      <c r="C81" t="s">
        <v>367</v>
      </c>
      <c r="D81" t="s">
        <v>155</v>
      </c>
      <c r="E81" t="s">
        <v>572</v>
      </c>
      <c r="F81" t="s">
        <v>158</v>
      </c>
      <c r="G81" t="s">
        <v>331</v>
      </c>
      <c r="H81" t="s">
        <v>158</v>
      </c>
      <c r="I81" t="s">
        <v>331</v>
      </c>
      <c r="J81" t="s">
        <v>412</v>
      </c>
      <c r="K81">
        <v>3</v>
      </c>
      <c r="L81">
        <v>0.5</v>
      </c>
      <c r="M81">
        <v>20</v>
      </c>
      <c r="N81">
        <v>19.5</v>
      </c>
    </row>
    <row r="82" spans="1:14">
      <c r="A82" t="s">
        <v>573</v>
      </c>
      <c r="B82" t="s">
        <v>574</v>
      </c>
      <c r="C82" t="s">
        <v>367</v>
      </c>
      <c r="D82" t="s">
        <v>155</v>
      </c>
      <c r="E82" t="s">
        <v>575</v>
      </c>
      <c r="F82" t="s">
        <v>474</v>
      </c>
      <c r="G82" t="s">
        <v>576</v>
      </c>
      <c r="H82" t="s">
        <v>158</v>
      </c>
      <c r="I82" t="s">
        <v>577</v>
      </c>
      <c r="J82" t="s">
        <v>578</v>
      </c>
      <c r="K82">
        <v>5</v>
      </c>
      <c r="L82">
        <v>-0.5</v>
      </c>
      <c r="M82">
        <v>20</v>
      </c>
      <c r="N82">
        <v>20.5</v>
      </c>
    </row>
    <row r="83" spans="1:14">
      <c r="A83" t="s">
        <v>579</v>
      </c>
      <c r="B83" t="s">
        <v>580</v>
      </c>
      <c r="C83" t="s">
        <v>367</v>
      </c>
      <c r="D83" t="s">
        <v>155</v>
      </c>
      <c r="E83" t="s">
        <v>581</v>
      </c>
      <c r="F83" t="s">
        <v>372</v>
      </c>
      <c r="G83" t="s">
        <v>372</v>
      </c>
      <c r="H83" t="s">
        <v>158</v>
      </c>
      <c r="I83" t="s">
        <v>373</v>
      </c>
      <c r="J83" t="s">
        <v>582</v>
      </c>
      <c r="K83">
        <v>18</v>
      </c>
      <c r="L83">
        <v>-0.5</v>
      </c>
      <c r="M83">
        <v>20</v>
      </c>
      <c r="N83">
        <v>20.5</v>
      </c>
    </row>
    <row r="84" spans="1:14">
      <c r="A84" t="s">
        <v>583</v>
      </c>
      <c r="B84" t="s">
        <v>584</v>
      </c>
      <c r="C84" t="s">
        <v>378</v>
      </c>
      <c r="D84" t="s">
        <v>155</v>
      </c>
      <c r="E84" t="s">
        <v>158</v>
      </c>
      <c r="F84" t="s">
        <v>158</v>
      </c>
      <c r="G84" t="s">
        <v>158</v>
      </c>
      <c r="H84" t="s">
        <v>158</v>
      </c>
      <c r="I84" t="s">
        <v>158</v>
      </c>
      <c r="J84" t="s">
        <v>158</v>
      </c>
      <c r="K84">
        <v>0</v>
      </c>
      <c r="L84">
        <v>-6</v>
      </c>
      <c r="M84">
        <v>20</v>
      </c>
      <c r="N84">
        <v>26</v>
      </c>
    </row>
    <row r="85" spans="1:14">
      <c r="A85" t="s">
        <v>585</v>
      </c>
      <c r="B85" t="s">
        <v>586</v>
      </c>
      <c r="C85" t="s">
        <v>378</v>
      </c>
      <c r="D85" t="s">
        <v>155</v>
      </c>
      <c r="E85" t="s">
        <v>158</v>
      </c>
      <c r="F85" t="s">
        <v>158</v>
      </c>
      <c r="G85" t="s">
        <v>158</v>
      </c>
      <c r="H85" t="s">
        <v>158</v>
      </c>
      <c r="I85" t="s">
        <v>158</v>
      </c>
      <c r="J85" t="s">
        <v>333</v>
      </c>
      <c r="K85">
        <v>0</v>
      </c>
      <c r="L85">
        <v>0</v>
      </c>
      <c r="M85">
        <v>20</v>
      </c>
      <c r="N85">
        <v>20</v>
      </c>
    </row>
    <row r="86" spans="1:14">
      <c r="A86" t="s">
        <v>289</v>
      </c>
      <c r="B86" t="s">
        <v>587</v>
      </c>
      <c r="C86" t="s">
        <v>367</v>
      </c>
      <c r="D86" t="s">
        <v>155</v>
      </c>
      <c r="E86" t="s">
        <v>158</v>
      </c>
      <c r="F86" t="s">
        <v>167</v>
      </c>
      <c r="G86" t="s">
        <v>588</v>
      </c>
      <c r="H86" t="s">
        <v>159</v>
      </c>
      <c r="I86" t="s">
        <v>589</v>
      </c>
      <c r="J86" t="s">
        <v>425</v>
      </c>
      <c r="K86">
        <v>0</v>
      </c>
      <c r="L86">
        <v>2</v>
      </c>
      <c r="M86">
        <v>20</v>
      </c>
      <c r="N86">
        <v>18</v>
      </c>
    </row>
    <row r="87" spans="1:14">
      <c r="A87" t="s">
        <v>590</v>
      </c>
      <c r="B87" t="s">
        <v>591</v>
      </c>
      <c r="C87" t="s">
        <v>367</v>
      </c>
      <c r="D87" t="s">
        <v>155</v>
      </c>
      <c r="E87" t="s">
        <v>592</v>
      </c>
      <c r="F87" t="s">
        <v>372</v>
      </c>
      <c r="G87" t="s">
        <v>372</v>
      </c>
      <c r="H87" t="s">
        <v>158</v>
      </c>
      <c r="I87" t="s">
        <v>373</v>
      </c>
      <c r="J87" t="s">
        <v>593</v>
      </c>
      <c r="K87">
        <v>21</v>
      </c>
      <c r="L87">
        <v>-1.5</v>
      </c>
      <c r="M87">
        <v>20</v>
      </c>
      <c r="N87">
        <v>21.5</v>
      </c>
    </row>
    <row r="88" spans="1:14">
      <c r="A88" t="s">
        <v>288</v>
      </c>
      <c r="B88" t="s">
        <v>594</v>
      </c>
      <c r="C88" t="s">
        <v>378</v>
      </c>
      <c r="D88" t="s">
        <v>155</v>
      </c>
      <c r="E88" t="s">
        <v>595</v>
      </c>
      <c r="F88" t="s">
        <v>173</v>
      </c>
      <c r="G88" t="s">
        <v>173</v>
      </c>
      <c r="H88" t="s">
        <v>158</v>
      </c>
      <c r="I88" t="s">
        <v>173</v>
      </c>
      <c r="J88" t="s">
        <v>596</v>
      </c>
      <c r="K88">
        <v>5</v>
      </c>
      <c r="L88">
        <v>3.5</v>
      </c>
      <c r="M88">
        <v>20</v>
      </c>
      <c r="N88">
        <v>16.5</v>
      </c>
    </row>
    <row r="89" spans="1:14">
      <c r="A89" t="s">
        <v>216</v>
      </c>
      <c r="B89" t="s">
        <v>597</v>
      </c>
      <c r="C89" t="s">
        <v>378</v>
      </c>
      <c r="D89" t="s">
        <v>155</v>
      </c>
      <c r="E89" t="s">
        <v>598</v>
      </c>
      <c r="F89" t="s">
        <v>158</v>
      </c>
      <c r="G89" t="s">
        <v>158</v>
      </c>
      <c r="H89" t="s">
        <v>158</v>
      </c>
      <c r="I89" t="s">
        <v>158</v>
      </c>
      <c r="J89" t="s">
        <v>599</v>
      </c>
      <c r="K89">
        <v>8</v>
      </c>
      <c r="L89">
        <v>3</v>
      </c>
      <c r="M89">
        <v>20</v>
      </c>
      <c r="N89">
        <v>17</v>
      </c>
    </row>
    <row r="90" spans="1:14">
      <c r="A90" t="s">
        <v>600</v>
      </c>
      <c r="B90" t="s">
        <v>601</v>
      </c>
      <c r="C90" t="s">
        <v>500</v>
      </c>
      <c r="D90" t="s">
        <v>155</v>
      </c>
      <c r="E90" t="s">
        <v>602</v>
      </c>
      <c r="F90" t="s">
        <v>158</v>
      </c>
      <c r="G90" t="s">
        <v>158</v>
      </c>
      <c r="H90" t="s">
        <v>158</v>
      </c>
      <c r="I90" t="s">
        <v>158</v>
      </c>
      <c r="J90" t="s">
        <v>333</v>
      </c>
      <c r="K90">
        <v>8</v>
      </c>
      <c r="L90">
        <v>0</v>
      </c>
      <c r="M90">
        <v>20</v>
      </c>
      <c r="N90">
        <v>20</v>
      </c>
    </row>
    <row r="91" spans="1:14">
      <c r="A91" t="s">
        <v>603</v>
      </c>
      <c r="B91" t="s">
        <v>604</v>
      </c>
      <c r="C91" t="s">
        <v>381</v>
      </c>
      <c r="D91" t="s">
        <v>155</v>
      </c>
      <c r="E91" t="s">
        <v>158</v>
      </c>
      <c r="F91" t="s">
        <v>158</v>
      </c>
      <c r="G91" t="s">
        <v>158</v>
      </c>
      <c r="H91" t="s">
        <v>158</v>
      </c>
      <c r="I91" t="s">
        <v>158</v>
      </c>
      <c r="J91" t="s">
        <v>605</v>
      </c>
      <c r="K91">
        <v>0</v>
      </c>
      <c r="L91">
        <v>20</v>
      </c>
      <c r="M91">
        <v>20</v>
      </c>
      <c r="N91">
        <v>0</v>
      </c>
    </row>
    <row r="92" spans="1:14">
      <c r="A92" t="s">
        <v>606</v>
      </c>
      <c r="B92" t="s">
        <v>607</v>
      </c>
      <c r="C92" t="s">
        <v>378</v>
      </c>
      <c r="D92" t="s">
        <v>155</v>
      </c>
      <c r="E92" t="s">
        <v>608</v>
      </c>
      <c r="F92" t="s">
        <v>609</v>
      </c>
      <c r="G92" t="s">
        <v>173</v>
      </c>
      <c r="H92" t="s">
        <v>158</v>
      </c>
      <c r="I92" t="s">
        <v>173</v>
      </c>
      <c r="J92" t="s">
        <v>515</v>
      </c>
      <c r="K92">
        <v>12</v>
      </c>
      <c r="L92">
        <v>1.5</v>
      </c>
      <c r="M92">
        <v>20</v>
      </c>
      <c r="N92">
        <v>18.5</v>
      </c>
    </row>
    <row r="93" spans="1:14">
      <c r="A93" t="s">
        <v>203</v>
      </c>
      <c r="B93" t="s">
        <v>610</v>
      </c>
      <c r="C93" t="s">
        <v>611</v>
      </c>
      <c r="D93" t="s">
        <v>155</v>
      </c>
      <c r="E93" t="s">
        <v>158</v>
      </c>
      <c r="F93" t="s">
        <v>158</v>
      </c>
      <c r="G93" t="s">
        <v>158</v>
      </c>
      <c r="H93" t="s">
        <v>158</v>
      </c>
      <c r="I93" t="s">
        <v>158</v>
      </c>
      <c r="J93" t="s">
        <v>333</v>
      </c>
      <c r="K93">
        <v>0</v>
      </c>
      <c r="L93">
        <v>0</v>
      </c>
      <c r="M93">
        <v>20</v>
      </c>
      <c r="N93">
        <v>20</v>
      </c>
    </row>
    <row r="94" spans="1:14">
      <c r="A94" t="s">
        <v>307</v>
      </c>
      <c r="B94" t="s">
        <v>612</v>
      </c>
      <c r="C94" t="s">
        <v>378</v>
      </c>
      <c r="D94" t="s">
        <v>155</v>
      </c>
      <c r="E94" t="s">
        <v>608</v>
      </c>
      <c r="F94" t="s">
        <v>609</v>
      </c>
      <c r="G94" t="s">
        <v>173</v>
      </c>
      <c r="H94" t="s">
        <v>158</v>
      </c>
      <c r="I94" t="s">
        <v>173</v>
      </c>
      <c r="J94" t="s">
        <v>515</v>
      </c>
      <c r="K94">
        <v>12</v>
      </c>
      <c r="L94">
        <v>1.5</v>
      </c>
      <c r="M94">
        <v>20</v>
      </c>
      <c r="N94">
        <v>18.5</v>
      </c>
    </row>
    <row r="95" spans="1:14">
      <c r="A95" t="s">
        <v>232</v>
      </c>
      <c r="B95" t="s">
        <v>613</v>
      </c>
      <c r="C95" t="s">
        <v>378</v>
      </c>
      <c r="D95" t="s">
        <v>155</v>
      </c>
      <c r="E95" t="s">
        <v>158</v>
      </c>
      <c r="F95" t="s">
        <v>158</v>
      </c>
      <c r="G95" t="s">
        <v>158</v>
      </c>
      <c r="H95" t="s">
        <v>158</v>
      </c>
      <c r="I95" t="s">
        <v>158</v>
      </c>
      <c r="J95" t="s">
        <v>396</v>
      </c>
      <c r="K95">
        <v>0</v>
      </c>
      <c r="L95">
        <v>1</v>
      </c>
      <c r="M95">
        <v>20</v>
      </c>
      <c r="N95">
        <v>19</v>
      </c>
    </row>
    <row r="96" spans="1:14">
      <c r="A96" t="s">
        <v>306</v>
      </c>
      <c r="B96" t="s">
        <v>614</v>
      </c>
      <c r="C96" t="s">
        <v>378</v>
      </c>
      <c r="D96" t="s">
        <v>155</v>
      </c>
      <c r="E96" t="s">
        <v>615</v>
      </c>
      <c r="F96" t="s">
        <v>158</v>
      </c>
      <c r="G96" t="s">
        <v>616</v>
      </c>
      <c r="H96" t="s">
        <v>616</v>
      </c>
      <c r="I96" t="s">
        <v>158</v>
      </c>
      <c r="J96" t="s">
        <v>333</v>
      </c>
      <c r="K96">
        <v>3</v>
      </c>
      <c r="L96">
        <v>1</v>
      </c>
      <c r="M96">
        <v>20</v>
      </c>
      <c r="N96">
        <v>19</v>
      </c>
    </row>
    <row r="97" spans="1:14">
      <c r="A97" t="s">
        <v>276</v>
      </c>
      <c r="B97" t="s">
        <v>617</v>
      </c>
      <c r="C97" t="s">
        <v>367</v>
      </c>
      <c r="D97" t="s">
        <v>155</v>
      </c>
      <c r="E97" t="s">
        <v>618</v>
      </c>
      <c r="F97" t="s">
        <v>619</v>
      </c>
      <c r="G97" t="s">
        <v>372</v>
      </c>
      <c r="H97" t="s">
        <v>158</v>
      </c>
      <c r="I97" t="s">
        <v>373</v>
      </c>
      <c r="J97" t="s">
        <v>158</v>
      </c>
      <c r="K97">
        <v>2</v>
      </c>
      <c r="L97">
        <v>-4.5</v>
      </c>
      <c r="M97">
        <v>20</v>
      </c>
      <c r="N97">
        <v>24.5</v>
      </c>
    </row>
    <row r="98" spans="1:14">
      <c r="A98" t="s">
        <v>238</v>
      </c>
      <c r="B98" t="s">
        <v>620</v>
      </c>
      <c r="C98" t="s">
        <v>381</v>
      </c>
      <c r="D98" t="s">
        <v>155</v>
      </c>
      <c r="E98" t="s">
        <v>621</v>
      </c>
      <c r="F98" t="s">
        <v>622</v>
      </c>
      <c r="G98" t="s">
        <v>623</v>
      </c>
      <c r="H98" t="s">
        <v>624</v>
      </c>
      <c r="I98" t="s">
        <v>625</v>
      </c>
      <c r="J98" t="s">
        <v>626</v>
      </c>
      <c r="K98">
        <v>5</v>
      </c>
      <c r="L98">
        <v>5.5</v>
      </c>
      <c r="M98">
        <v>20</v>
      </c>
      <c r="N98">
        <v>14.5</v>
      </c>
    </row>
    <row r="99" spans="1:14">
      <c r="A99" t="s">
        <v>256</v>
      </c>
      <c r="B99" t="s">
        <v>627</v>
      </c>
      <c r="C99" t="s">
        <v>343</v>
      </c>
      <c r="D99" t="s">
        <v>155</v>
      </c>
      <c r="E99" t="s">
        <v>158</v>
      </c>
      <c r="F99" t="s">
        <v>174</v>
      </c>
      <c r="G99" t="s">
        <v>174</v>
      </c>
      <c r="H99" t="s">
        <v>158</v>
      </c>
      <c r="I99" t="s">
        <v>174</v>
      </c>
      <c r="J99" t="s">
        <v>345</v>
      </c>
      <c r="K99">
        <v>0</v>
      </c>
      <c r="L99">
        <v>2.5</v>
      </c>
      <c r="M99">
        <v>20</v>
      </c>
      <c r="N99">
        <v>17.5</v>
      </c>
    </row>
    <row r="100" spans="1:14">
      <c r="A100" t="s">
        <v>628</v>
      </c>
      <c r="B100" t="s">
        <v>629</v>
      </c>
      <c r="C100" t="s">
        <v>378</v>
      </c>
      <c r="D100" t="s">
        <v>155</v>
      </c>
      <c r="E100" t="s">
        <v>630</v>
      </c>
      <c r="F100" t="s">
        <v>158</v>
      </c>
      <c r="G100" t="s">
        <v>158</v>
      </c>
      <c r="H100" t="s">
        <v>158</v>
      </c>
      <c r="I100" t="s">
        <v>158</v>
      </c>
      <c r="J100" t="s">
        <v>631</v>
      </c>
      <c r="K100">
        <v>10</v>
      </c>
      <c r="L100">
        <v>6</v>
      </c>
      <c r="M100">
        <v>20</v>
      </c>
      <c r="N100">
        <v>14</v>
      </c>
    </row>
    <row r="101" spans="1:14">
      <c r="A101" t="s">
        <v>220</v>
      </c>
      <c r="B101" t="s">
        <v>632</v>
      </c>
      <c r="C101" t="s">
        <v>378</v>
      </c>
      <c r="D101" t="s">
        <v>155</v>
      </c>
      <c r="E101" t="s">
        <v>158</v>
      </c>
      <c r="F101" t="s">
        <v>158</v>
      </c>
      <c r="G101" t="s">
        <v>158</v>
      </c>
      <c r="H101" t="s">
        <v>158</v>
      </c>
      <c r="I101" t="s">
        <v>158</v>
      </c>
      <c r="J101" t="s">
        <v>396</v>
      </c>
      <c r="K101">
        <v>0</v>
      </c>
      <c r="L101">
        <v>1</v>
      </c>
      <c r="M101">
        <v>20</v>
      </c>
      <c r="N101">
        <v>19</v>
      </c>
    </row>
    <row r="102" spans="1:14">
      <c r="A102" t="s">
        <v>198</v>
      </c>
      <c r="B102" t="s">
        <v>633</v>
      </c>
      <c r="C102" t="s">
        <v>378</v>
      </c>
      <c r="D102" t="s">
        <v>155</v>
      </c>
      <c r="E102" t="s">
        <v>634</v>
      </c>
      <c r="F102" t="s">
        <v>331</v>
      </c>
      <c r="G102" t="s">
        <v>331</v>
      </c>
      <c r="H102" t="s">
        <v>158</v>
      </c>
      <c r="I102" t="s">
        <v>331</v>
      </c>
      <c r="J102" t="s">
        <v>635</v>
      </c>
      <c r="K102">
        <v>4</v>
      </c>
      <c r="L102">
        <v>1.5</v>
      </c>
      <c r="M102">
        <v>20</v>
      </c>
      <c r="N102">
        <v>18.5</v>
      </c>
    </row>
    <row r="103" spans="1:14">
      <c r="A103" t="s">
        <v>252</v>
      </c>
      <c r="B103" t="s">
        <v>636</v>
      </c>
      <c r="C103" t="s">
        <v>381</v>
      </c>
      <c r="D103" t="s">
        <v>155</v>
      </c>
      <c r="E103" t="s">
        <v>637</v>
      </c>
      <c r="F103" t="s">
        <v>638</v>
      </c>
      <c r="G103" t="s">
        <v>639</v>
      </c>
      <c r="H103" t="s">
        <v>640</v>
      </c>
      <c r="I103" t="s">
        <v>641</v>
      </c>
      <c r="J103" t="s">
        <v>163</v>
      </c>
      <c r="K103">
        <v>2</v>
      </c>
      <c r="L103">
        <v>4.5</v>
      </c>
      <c r="M103">
        <v>20</v>
      </c>
      <c r="N103">
        <v>15.5</v>
      </c>
    </row>
    <row r="104" spans="1:14">
      <c r="A104" t="s">
        <v>301</v>
      </c>
      <c r="B104" t="s">
        <v>642</v>
      </c>
      <c r="C104" t="s">
        <v>378</v>
      </c>
      <c r="D104" t="s">
        <v>155</v>
      </c>
      <c r="E104" t="s">
        <v>158</v>
      </c>
      <c r="F104" t="s">
        <v>643</v>
      </c>
      <c r="G104" t="s">
        <v>163</v>
      </c>
      <c r="H104" t="s">
        <v>158</v>
      </c>
      <c r="I104" t="s">
        <v>163</v>
      </c>
      <c r="J104" t="s">
        <v>644</v>
      </c>
      <c r="K104">
        <v>0</v>
      </c>
      <c r="L104">
        <v>1.5</v>
      </c>
      <c r="M104">
        <v>20</v>
      </c>
      <c r="N104">
        <v>18.5</v>
      </c>
    </row>
    <row r="105" spans="1:14">
      <c r="A105" t="s">
        <v>290</v>
      </c>
      <c r="B105" t="s">
        <v>645</v>
      </c>
      <c r="C105" t="s">
        <v>367</v>
      </c>
      <c r="D105" t="s">
        <v>155</v>
      </c>
      <c r="E105" t="s">
        <v>170</v>
      </c>
      <c r="F105" t="s">
        <v>158</v>
      </c>
      <c r="G105" t="s">
        <v>646</v>
      </c>
      <c r="H105" t="s">
        <v>170</v>
      </c>
      <c r="I105" t="s">
        <v>331</v>
      </c>
      <c r="J105" t="s">
        <v>647</v>
      </c>
      <c r="K105">
        <v>1</v>
      </c>
      <c r="L105">
        <v>2</v>
      </c>
      <c r="M105">
        <v>20</v>
      </c>
      <c r="N105">
        <v>18</v>
      </c>
    </row>
    <row r="106" spans="1:14">
      <c r="A106" t="s">
        <v>247</v>
      </c>
      <c r="B106" t="s">
        <v>648</v>
      </c>
      <c r="C106" t="s">
        <v>378</v>
      </c>
      <c r="D106" t="s">
        <v>155</v>
      </c>
      <c r="E106" t="s">
        <v>649</v>
      </c>
      <c r="F106" t="s">
        <v>158</v>
      </c>
      <c r="G106" t="s">
        <v>382</v>
      </c>
      <c r="H106" t="s">
        <v>158</v>
      </c>
      <c r="I106" t="s">
        <v>567</v>
      </c>
      <c r="J106" t="s">
        <v>650</v>
      </c>
      <c r="K106">
        <v>3</v>
      </c>
      <c r="L106">
        <v>-3</v>
      </c>
      <c r="M106">
        <v>20</v>
      </c>
      <c r="N106">
        <v>23</v>
      </c>
    </row>
    <row r="107" spans="1:14">
      <c r="A107" t="s">
        <v>281</v>
      </c>
      <c r="B107" t="s">
        <v>651</v>
      </c>
      <c r="C107" t="s">
        <v>367</v>
      </c>
      <c r="D107" t="s">
        <v>155</v>
      </c>
      <c r="E107" t="s">
        <v>652</v>
      </c>
      <c r="F107" t="s">
        <v>653</v>
      </c>
      <c r="G107" t="s">
        <v>475</v>
      </c>
      <c r="H107" t="s">
        <v>158</v>
      </c>
      <c r="I107" t="s">
        <v>475</v>
      </c>
      <c r="J107" t="s">
        <v>654</v>
      </c>
      <c r="K107">
        <v>1</v>
      </c>
      <c r="L107">
        <v>6</v>
      </c>
      <c r="M107">
        <v>20</v>
      </c>
      <c r="N107">
        <v>14</v>
      </c>
    </row>
    <row r="108" spans="1:14">
      <c r="A108" t="s">
        <v>274</v>
      </c>
      <c r="B108" t="s">
        <v>655</v>
      </c>
      <c r="C108" t="s">
        <v>378</v>
      </c>
      <c r="D108" t="s">
        <v>155</v>
      </c>
      <c r="E108" t="s">
        <v>656</v>
      </c>
      <c r="F108" t="s">
        <v>158</v>
      </c>
      <c r="G108" t="s">
        <v>158</v>
      </c>
      <c r="H108" t="s">
        <v>158</v>
      </c>
      <c r="I108" t="s">
        <v>158</v>
      </c>
      <c r="J108" t="s">
        <v>657</v>
      </c>
      <c r="K108">
        <v>11</v>
      </c>
      <c r="L108">
        <v>-4</v>
      </c>
      <c r="M108">
        <v>20</v>
      </c>
      <c r="N108">
        <v>24</v>
      </c>
    </row>
    <row r="109" spans="1:14">
      <c r="A109" t="s">
        <v>658</v>
      </c>
      <c r="B109" t="s">
        <v>659</v>
      </c>
      <c r="C109" t="s">
        <v>381</v>
      </c>
      <c r="D109" t="s">
        <v>155</v>
      </c>
      <c r="E109" t="s">
        <v>158</v>
      </c>
      <c r="F109" t="s">
        <v>158</v>
      </c>
      <c r="G109" t="s">
        <v>660</v>
      </c>
      <c r="H109" t="s">
        <v>661</v>
      </c>
      <c r="I109" t="s">
        <v>172</v>
      </c>
      <c r="J109" t="s">
        <v>167</v>
      </c>
      <c r="K109">
        <v>0</v>
      </c>
      <c r="L109">
        <v>-2</v>
      </c>
      <c r="M109">
        <v>20</v>
      </c>
      <c r="N109">
        <v>22</v>
      </c>
    </row>
    <row r="110" spans="1:14">
      <c r="A110" t="s">
        <v>225</v>
      </c>
      <c r="B110" t="s">
        <v>662</v>
      </c>
      <c r="C110" t="s">
        <v>378</v>
      </c>
      <c r="D110" t="s">
        <v>155</v>
      </c>
      <c r="E110" t="s">
        <v>663</v>
      </c>
      <c r="F110" t="s">
        <v>158</v>
      </c>
      <c r="G110" t="s">
        <v>331</v>
      </c>
      <c r="H110" t="s">
        <v>158</v>
      </c>
      <c r="I110" t="s">
        <v>331</v>
      </c>
      <c r="J110" t="s">
        <v>368</v>
      </c>
      <c r="K110">
        <v>4</v>
      </c>
      <c r="L110">
        <v>0.5</v>
      </c>
      <c r="M110">
        <v>20</v>
      </c>
      <c r="N110">
        <v>19.5</v>
      </c>
    </row>
    <row r="111" spans="1:14">
      <c r="A111" t="s">
        <v>287</v>
      </c>
      <c r="B111" t="s">
        <v>664</v>
      </c>
      <c r="C111" t="s">
        <v>405</v>
      </c>
      <c r="D111" t="s">
        <v>155</v>
      </c>
      <c r="E111" t="s">
        <v>169</v>
      </c>
      <c r="F111" t="s">
        <v>158</v>
      </c>
      <c r="G111" t="s">
        <v>158</v>
      </c>
      <c r="H111" t="s">
        <v>158</v>
      </c>
      <c r="I111" t="s">
        <v>158</v>
      </c>
      <c r="J111" t="s">
        <v>665</v>
      </c>
      <c r="K111">
        <v>1</v>
      </c>
      <c r="L111">
        <v>2</v>
      </c>
      <c r="M111">
        <v>20</v>
      </c>
      <c r="N111">
        <v>18</v>
      </c>
    </row>
    <row r="112" spans="1:14">
      <c r="A112" t="s">
        <v>666</v>
      </c>
      <c r="B112" t="s">
        <v>667</v>
      </c>
      <c r="C112" t="s">
        <v>378</v>
      </c>
      <c r="D112" t="s">
        <v>155</v>
      </c>
      <c r="E112" t="s">
        <v>668</v>
      </c>
      <c r="F112" t="s">
        <v>668</v>
      </c>
      <c r="G112" t="s">
        <v>159</v>
      </c>
      <c r="H112" t="s">
        <v>158</v>
      </c>
      <c r="I112" t="s">
        <v>159</v>
      </c>
      <c r="J112" t="s">
        <v>669</v>
      </c>
      <c r="K112">
        <v>8</v>
      </c>
      <c r="L112">
        <v>12.5</v>
      </c>
      <c r="M112">
        <v>20</v>
      </c>
      <c r="N112">
        <v>7.5</v>
      </c>
    </row>
    <row r="113" spans="1:14">
      <c r="A113" t="s">
        <v>670</v>
      </c>
      <c r="B113" t="s">
        <v>671</v>
      </c>
      <c r="C113" t="s">
        <v>367</v>
      </c>
      <c r="D113" t="s">
        <v>155</v>
      </c>
      <c r="E113" t="s">
        <v>672</v>
      </c>
      <c r="F113" t="s">
        <v>372</v>
      </c>
      <c r="G113" t="s">
        <v>372</v>
      </c>
      <c r="H113" t="s">
        <v>158</v>
      </c>
      <c r="I113" t="s">
        <v>373</v>
      </c>
      <c r="J113" t="s">
        <v>673</v>
      </c>
      <c r="K113">
        <v>14</v>
      </c>
      <c r="L113">
        <v>-0.5</v>
      </c>
      <c r="M113">
        <v>20</v>
      </c>
      <c r="N113">
        <v>20.5</v>
      </c>
    </row>
    <row r="114" spans="1:14">
      <c r="A114" t="s">
        <v>222</v>
      </c>
      <c r="B114" t="s">
        <v>674</v>
      </c>
      <c r="C114" t="s">
        <v>378</v>
      </c>
      <c r="D114" t="s">
        <v>155</v>
      </c>
      <c r="E114" t="s">
        <v>675</v>
      </c>
      <c r="F114" t="s">
        <v>158</v>
      </c>
      <c r="G114" t="s">
        <v>676</v>
      </c>
      <c r="H114" t="s">
        <v>442</v>
      </c>
      <c r="I114" t="s">
        <v>331</v>
      </c>
      <c r="J114" t="s">
        <v>677</v>
      </c>
      <c r="K114">
        <v>2</v>
      </c>
      <c r="L114">
        <v>0</v>
      </c>
      <c r="M114">
        <v>20</v>
      </c>
      <c r="N114">
        <v>20</v>
      </c>
    </row>
    <row r="115" spans="1:14">
      <c r="A115" t="s">
        <v>678</v>
      </c>
      <c r="B115" t="s">
        <v>679</v>
      </c>
      <c r="C115" t="s">
        <v>680</v>
      </c>
      <c r="D115" t="s">
        <v>155</v>
      </c>
      <c r="E115" t="s">
        <v>681</v>
      </c>
      <c r="F115" t="s">
        <v>158</v>
      </c>
      <c r="G115" t="s">
        <v>682</v>
      </c>
      <c r="H115" t="s">
        <v>158</v>
      </c>
      <c r="I115" t="s">
        <v>682</v>
      </c>
      <c r="J115" t="s">
        <v>466</v>
      </c>
      <c r="K115">
        <v>5</v>
      </c>
      <c r="L115">
        <v>2.5</v>
      </c>
      <c r="M115">
        <v>20</v>
      </c>
      <c r="N115">
        <v>17.5</v>
      </c>
    </row>
    <row r="116" spans="1:14">
      <c r="A116" t="s">
        <v>217</v>
      </c>
      <c r="B116" t="s">
        <v>683</v>
      </c>
      <c r="C116" t="s">
        <v>378</v>
      </c>
      <c r="D116" t="s">
        <v>155</v>
      </c>
      <c r="E116" t="s">
        <v>684</v>
      </c>
      <c r="F116" t="s">
        <v>158</v>
      </c>
      <c r="G116" t="s">
        <v>685</v>
      </c>
      <c r="H116" t="s">
        <v>158</v>
      </c>
      <c r="I116" t="s">
        <v>686</v>
      </c>
      <c r="J116" t="s">
        <v>687</v>
      </c>
      <c r="K116">
        <v>4</v>
      </c>
      <c r="L116">
        <v>7.5</v>
      </c>
      <c r="M116">
        <v>20</v>
      </c>
      <c r="N116">
        <v>12.5</v>
      </c>
    </row>
    <row r="117" spans="1:14">
      <c r="A117" t="s">
        <v>688</v>
      </c>
      <c r="B117" t="s">
        <v>689</v>
      </c>
      <c r="C117" t="s">
        <v>680</v>
      </c>
      <c r="D117" t="s">
        <v>155</v>
      </c>
      <c r="E117" t="s">
        <v>690</v>
      </c>
      <c r="F117" t="s">
        <v>158</v>
      </c>
      <c r="G117" t="s">
        <v>162</v>
      </c>
      <c r="H117" t="s">
        <v>162</v>
      </c>
      <c r="I117" t="s">
        <v>158</v>
      </c>
      <c r="J117" t="s">
        <v>333</v>
      </c>
      <c r="K117">
        <v>7</v>
      </c>
      <c r="L117">
        <v>0.5</v>
      </c>
      <c r="M117">
        <v>20</v>
      </c>
      <c r="N117">
        <v>19.5</v>
      </c>
    </row>
    <row r="118" spans="1:14">
      <c r="A118" t="s">
        <v>691</v>
      </c>
      <c r="B118" t="s">
        <v>692</v>
      </c>
      <c r="C118" t="s">
        <v>378</v>
      </c>
      <c r="D118" t="s">
        <v>155</v>
      </c>
      <c r="E118" t="s">
        <v>158</v>
      </c>
      <c r="F118" t="s">
        <v>158</v>
      </c>
      <c r="G118" t="s">
        <v>158</v>
      </c>
      <c r="H118" t="s">
        <v>158</v>
      </c>
      <c r="I118" t="s">
        <v>158</v>
      </c>
      <c r="J118" t="s">
        <v>333</v>
      </c>
      <c r="K118">
        <v>0</v>
      </c>
      <c r="L118">
        <v>0</v>
      </c>
      <c r="M118">
        <v>20</v>
      </c>
      <c r="N118">
        <v>20</v>
      </c>
    </row>
    <row r="119" spans="1:14">
      <c r="A119" t="s">
        <v>693</v>
      </c>
      <c r="B119" t="s">
        <v>694</v>
      </c>
      <c r="C119" t="s">
        <v>367</v>
      </c>
      <c r="D119" t="s">
        <v>155</v>
      </c>
      <c r="E119" t="s">
        <v>695</v>
      </c>
      <c r="F119" t="s">
        <v>158</v>
      </c>
      <c r="G119" t="s">
        <v>331</v>
      </c>
      <c r="H119" t="s">
        <v>158</v>
      </c>
      <c r="I119" t="s">
        <v>331</v>
      </c>
      <c r="J119" t="s">
        <v>379</v>
      </c>
      <c r="K119">
        <v>6</v>
      </c>
      <c r="L119">
        <v>-0.5</v>
      </c>
      <c r="M119">
        <v>20</v>
      </c>
      <c r="N119">
        <v>20.5</v>
      </c>
    </row>
    <row r="120" spans="1:14">
      <c r="A120" t="s">
        <v>302</v>
      </c>
      <c r="B120" t="s">
        <v>696</v>
      </c>
      <c r="C120" t="s">
        <v>381</v>
      </c>
      <c r="D120" t="s">
        <v>155</v>
      </c>
      <c r="E120" t="s">
        <v>697</v>
      </c>
      <c r="F120" t="s">
        <v>698</v>
      </c>
      <c r="G120" t="s">
        <v>699</v>
      </c>
      <c r="H120" t="s">
        <v>700</v>
      </c>
      <c r="I120" t="s">
        <v>701</v>
      </c>
      <c r="J120" t="s">
        <v>702</v>
      </c>
      <c r="K120">
        <v>2</v>
      </c>
      <c r="L120">
        <v>5.5</v>
      </c>
      <c r="M120">
        <v>20</v>
      </c>
      <c r="N120">
        <v>14.5</v>
      </c>
    </row>
    <row r="121" spans="1:14">
      <c r="A121" t="s">
        <v>272</v>
      </c>
      <c r="B121" t="s">
        <v>703</v>
      </c>
      <c r="C121" t="s">
        <v>381</v>
      </c>
      <c r="D121" t="s">
        <v>155</v>
      </c>
      <c r="E121" t="s">
        <v>432</v>
      </c>
      <c r="F121" t="s">
        <v>704</v>
      </c>
      <c r="G121" t="s">
        <v>705</v>
      </c>
      <c r="H121" t="s">
        <v>706</v>
      </c>
      <c r="I121" t="s">
        <v>707</v>
      </c>
      <c r="J121" t="s">
        <v>533</v>
      </c>
      <c r="K121">
        <v>4</v>
      </c>
      <c r="L121">
        <v>5.5</v>
      </c>
      <c r="M121">
        <v>20</v>
      </c>
      <c r="N121">
        <v>14.5</v>
      </c>
    </row>
    <row r="122" spans="1:14">
      <c r="A122" t="s">
        <v>297</v>
      </c>
      <c r="B122" t="s">
        <v>708</v>
      </c>
      <c r="C122" t="s">
        <v>405</v>
      </c>
      <c r="D122" t="s">
        <v>155</v>
      </c>
      <c r="E122" t="s">
        <v>158</v>
      </c>
      <c r="F122" t="s">
        <v>158</v>
      </c>
      <c r="G122" t="s">
        <v>709</v>
      </c>
      <c r="H122" t="s">
        <v>158</v>
      </c>
      <c r="I122" t="s">
        <v>709</v>
      </c>
      <c r="J122" t="s">
        <v>710</v>
      </c>
      <c r="K122">
        <v>0</v>
      </c>
      <c r="L122">
        <v>0</v>
      </c>
      <c r="M122">
        <v>20</v>
      </c>
      <c r="N122">
        <v>20</v>
      </c>
    </row>
    <row r="123" spans="1:14">
      <c r="A123" t="s">
        <v>286</v>
      </c>
      <c r="B123" t="s">
        <v>711</v>
      </c>
      <c r="C123" t="s">
        <v>712</v>
      </c>
      <c r="D123" t="s">
        <v>155</v>
      </c>
      <c r="E123" t="s">
        <v>713</v>
      </c>
      <c r="F123" t="s">
        <v>714</v>
      </c>
      <c r="G123" t="s">
        <v>715</v>
      </c>
      <c r="H123" t="s">
        <v>716</v>
      </c>
      <c r="I123" t="s">
        <v>717</v>
      </c>
      <c r="J123" t="s">
        <v>718</v>
      </c>
      <c r="K123">
        <v>7</v>
      </c>
      <c r="L123">
        <v>7</v>
      </c>
      <c r="M123">
        <v>20</v>
      </c>
      <c r="N123">
        <v>13</v>
      </c>
    </row>
    <row r="124" spans="1:14">
      <c r="A124" t="s">
        <v>305</v>
      </c>
      <c r="B124" t="s">
        <v>719</v>
      </c>
      <c r="C124" t="s">
        <v>381</v>
      </c>
      <c r="D124" t="s">
        <v>155</v>
      </c>
      <c r="E124" t="s">
        <v>720</v>
      </c>
      <c r="F124" t="s">
        <v>721</v>
      </c>
      <c r="G124" t="s">
        <v>722</v>
      </c>
      <c r="H124" t="s">
        <v>723</v>
      </c>
      <c r="I124" t="s">
        <v>724</v>
      </c>
      <c r="J124" t="s">
        <v>371</v>
      </c>
      <c r="K124">
        <v>8</v>
      </c>
      <c r="L124">
        <v>6.5</v>
      </c>
      <c r="M124">
        <v>20</v>
      </c>
      <c r="N124">
        <v>13.5</v>
      </c>
    </row>
    <row r="125" spans="1:14">
      <c r="A125" t="s">
        <v>269</v>
      </c>
      <c r="B125" t="s">
        <v>725</v>
      </c>
      <c r="C125" t="s">
        <v>381</v>
      </c>
      <c r="D125" t="s">
        <v>155</v>
      </c>
      <c r="E125" t="s">
        <v>159</v>
      </c>
      <c r="F125" t="s">
        <v>726</v>
      </c>
      <c r="G125" t="s">
        <v>727</v>
      </c>
      <c r="H125" t="s">
        <v>728</v>
      </c>
      <c r="I125" t="s">
        <v>729</v>
      </c>
      <c r="J125" t="s">
        <v>730</v>
      </c>
      <c r="K125">
        <v>1</v>
      </c>
      <c r="L125">
        <v>4.5</v>
      </c>
      <c r="M125">
        <v>20</v>
      </c>
      <c r="N125">
        <v>15.5</v>
      </c>
    </row>
    <row r="126" spans="1:14">
      <c r="A126" t="s">
        <v>731</v>
      </c>
      <c r="B126" t="s">
        <v>732</v>
      </c>
      <c r="C126" t="s">
        <v>500</v>
      </c>
      <c r="D126" t="s">
        <v>155</v>
      </c>
      <c r="E126" t="s">
        <v>733</v>
      </c>
      <c r="F126" t="s">
        <v>166</v>
      </c>
      <c r="G126" t="s">
        <v>166</v>
      </c>
      <c r="H126" t="s">
        <v>158</v>
      </c>
      <c r="I126" t="s">
        <v>166</v>
      </c>
      <c r="J126" t="s">
        <v>333</v>
      </c>
      <c r="K126">
        <v>3</v>
      </c>
      <c r="L126">
        <v>0.5</v>
      </c>
      <c r="M126">
        <v>20</v>
      </c>
      <c r="N126">
        <v>19.5</v>
      </c>
    </row>
    <row r="127" spans="1:14">
      <c r="A127" t="s">
        <v>271</v>
      </c>
      <c r="B127" t="s">
        <v>734</v>
      </c>
      <c r="C127" t="s">
        <v>367</v>
      </c>
      <c r="D127" t="s">
        <v>155</v>
      </c>
      <c r="E127" t="s">
        <v>158</v>
      </c>
      <c r="F127" t="s">
        <v>158</v>
      </c>
      <c r="G127" t="s">
        <v>735</v>
      </c>
      <c r="H127" t="s">
        <v>736</v>
      </c>
      <c r="I127" t="s">
        <v>331</v>
      </c>
      <c r="J127" t="s">
        <v>737</v>
      </c>
      <c r="K127">
        <v>0</v>
      </c>
      <c r="L127">
        <v>1.5</v>
      </c>
      <c r="M127">
        <v>20</v>
      </c>
      <c r="N127">
        <v>18.5</v>
      </c>
    </row>
    <row r="128" spans="1:14">
      <c r="A128" t="s">
        <v>291</v>
      </c>
      <c r="B128" t="s">
        <v>738</v>
      </c>
      <c r="C128" t="s">
        <v>154</v>
      </c>
      <c r="D128" t="s">
        <v>155</v>
      </c>
      <c r="E128" t="s">
        <v>739</v>
      </c>
      <c r="F128" t="s">
        <v>159</v>
      </c>
      <c r="G128" t="s">
        <v>159</v>
      </c>
      <c r="H128" t="s">
        <v>158</v>
      </c>
      <c r="I128" t="s">
        <v>159</v>
      </c>
      <c r="J128" t="s">
        <v>483</v>
      </c>
      <c r="K128">
        <v>6</v>
      </c>
      <c r="L128">
        <v>2.5</v>
      </c>
      <c r="M128">
        <v>20</v>
      </c>
      <c r="N128">
        <v>17.5</v>
      </c>
    </row>
    <row r="129" spans="1:14">
      <c r="A129" t="s">
        <v>250</v>
      </c>
      <c r="B129" t="s">
        <v>740</v>
      </c>
      <c r="C129" t="s">
        <v>378</v>
      </c>
      <c r="D129" t="s">
        <v>155</v>
      </c>
      <c r="E129" t="s">
        <v>741</v>
      </c>
      <c r="F129" t="s">
        <v>158</v>
      </c>
      <c r="G129" t="s">
        <v>652</v>
      </c>
      <c r="H129" t="s">
        <v>158</v>
      </c>
      <c r="I129" t="s">
        <v>652</v>
      </c>
      <c r="J129" t="s">
        <v>742</v>
      </c>
      <c r="K129">
        <v>8</v>
      </c>
      <c r="L129">
        <v>4.5</v>
      </c>
      <c r="M129">
        <v>20</v>
      </c>
      <c r="N129">
        <v>15.5</v>
      </c>
    </row>
    <row r="130" spans="1:14">
      <c r="A130" t="s">
        <v>315</v>
      </c>
      <c r="B130" t="s">
        <v>743</v>
      </c>
      <c r="C130" t="s">
        <v>680</v>
      </c>
      <c r="D130" t="s">
        <v>155</v>
      </c>
      <c r="E130" t="s">
        <v>744</v>
      </c>
      <c r="F130" t="s">
        <v>158</v>
      </c>
      <c r="G130" t="s">
        <v>745</v>
      </c>
      <c r="H130" t="s">
        <v>746</v>
      </c>
      <c r="I130" t="s">
        <v>158</v>
      </c>
      <c r="J130" t="s">
        <v>396</v>
      </c>
      <c r="K130">
        <v>15</v>
      </c>
      <c r="L130">
        <v>6.5</v>
      </c>
      <c r="M130">
        <v>20</v>
      </c>
      <c r="N130">
        <v>13.5</v>
      </c>
    </row>
    <row r="131" spans="1:14">
      <c r="A131" t="s">
        <v>227</v>
      </c>
      <c r="B131" t="s">
        <v>747</v>
      </c>
      <c r="C131" t="s">
        <v>378</v>
      </c>
      <c r="D131" t="s">
        <v>155</v>
      </c>
      <c r="E131" t="s">
        <v>158</v>
      </c>
      <c r="F131" t="s">
        <v>171</v>
      </c>
      <c r="G131" t="s">
        <v>394</v>
      </c>
      <c r="H131" t="s">
        <v>158</v>
      </c>
      <c r="I131" t="s">
        <v>394</v>
      </c>
      <c r="J131" t="s">
        <v>748</v>
      </c>
      <c r="K131">
        <v>0</v>
      </c>
      <c r="L131">
        <v>1</v>
      </c>
      <c r="M131">
        <v>20</v>
      </c>
      <c r="N131">
        <v>19</v>
      </c>
    </row>
    <row r="132" spans="1:14">
      <c r="A132" t="s">
        <v>226</v>
      </c>
      <c r="B132" t="s">
        <v>749</v>
      </c>
      <c r="C132" t="s">
        <v>378</v>
      </c>
      <c r="D132" t="s">
        <v>155</v>
      </c>
      <c r="E132" t="s">
        <v>750</v>
      </c>
      <c r="F132" t="s">
        <v>751</v>
      </c>
      <c r="G132" t="s">
        <v>407</v>
      </c>
      <c r="H132" t="s">
        <v>407</v>
      </c>
      <c r="I132" t="s">
        <v>158</v>
      </c>
      <c r="J132" t="s">
        <v>752</v>
      </c>
      <c r="K132">
        <v>13</v>
      </c>
      <c r="L132">
        <v>1</v>
      </c>
      <c r="M132">
        <v>20</v>
      </c>
      <c r="N132">
        <v>19</v>
      </c>
    </row>
    <row r="133" spans="1:14">
      <c r="A133" t="s">
        <v>753</v>
      </c>
      <c r="B133" t="s">
        <v>754</v>
      </c>
      <c r="C133" t="s">
        <v>152</v>
      </c>
      <c r="D133" t="s">
        <v>155</v>
      </c>
      <c r="E133" t="s">
        <v>755</v>
      </c>
      <c r="F133" t="s">
        <v>756</v>
      </c>
      <c r="G133" t="s">
        <v>757</v>
      </c>
      <c r="H133" t="s">
        <v>758</v>
      </c>
      <c r="I133" t="s">
        <v>759</v>
      </c>
      <c r="J133" t="s">
        <v>760</v>
      </c>
      <c r="K133">
        <v>8</v>
      </c>
      <c r="L133">
        <v>5.5</v>
      </c>
      <c r="M133">
        <v>20</v>
      </c>
      <c r="N133">
        <v>14.5</v>
      </c>
    </row>
    <row r="134" spans="1:14">
      <c r="A134" t="s">
        <v>224</v>
      </c>
      <c r="B134" t="s">
        <v>761</v>
      </c>
      <c r="C134" t="s">
        <v>378</v>
      </c>
      <c r="D134" t="s">
        <v>155</v>
      </c>
      <c r="E134" t="s">
        <v>158</v>
      </c>
      <c r="F134" t="s">
        <v>331</v>
      </c>
      <c r="G134" t="s">
        <v>331</v>
      </c>
      <c r="H134" t="s">
        <v>158</v>
      </c>
      <c r="I134" t="s">
        <v>331</v>
      </c>
      <c r="J134" t="s">
        <v>373</v>
      </c>
      <c r="K134">
        <v>0</v>
      </c>
      <c r="L134">
        <v>-2.5</v>
      </c>
      <c r="M134">
        <v>20</v>
      </c>
      <c r="N134">
        <v>22.5</v>
      </c>
    </row>
    <row r="135" spans="1:14">
      <c r="A135" t="s">
        <v>762</v>
      </c>
      <c r="E135" t="s">
        <v>763</v>
      </c>
      <c r="F135" t="s">
        <v>764</v>
      </c>
      <c r="G135" t="s">
        <v>763</v>
      </c>
      <c r="H135" t="s">
        <v>765</v>
      </c>
      <c r="I135" t="s">
        <v>766</v>
      </c>
      <c r="J135" t="s">
        <v>767</v>
      </c>
      <c r="K135">
        <v>17</v>
      </c>
      <c r="L135">
        <v>11.5</v>
      </c>
      <c r="M135">
        <v>20</v>
      </c>
      <c r="N135">
        <v>8.5</v>
      </c>
    </row>
    <row r="136" spans="1:14">
      <c r="A136" t="s">
        <v>228</v>
      </c>
      <c r="B136" t="s">
        <v>768</v>
      </c>
      <c r="C136" t="s">
        <v>378</v>
      </c>
      <c r="D136" t="s">
        <v>155</v>
      </c>
      <c r="E136" t="s">
        <v>769</v>
      </c>
      <c r="F136" t="s">
        <v>158</v>
      </c>
      <c r="G136" t="s">
        <v>770</v>
      </c>
      <c r="H136" t="s">
        <v>158</v>
      </c>
      <c r="I136" t="s">
        <v>770</v>
      </c>
      <c r="J136" t="s">
        <v>771</v>
      </c>
      <c r="K136">
        <v>6</v>
      </c>
      <c r="L136">
        <v>3</v>
      </c>
      <c r="M136">
        <v>20</v>
      </c>
      <c r="N136">
        <v>17</v>
      </c>
    </row>
    <row r="137" spans="1:14">
      <c r="A137" t="s">
        <v>772</v>
      </c>
      <c r="B137" t="s">
        <v>773</v>
      </c>
      <c r="C137" t="s">
        <v>378</v>
      </c>
      <c r="D137" t="s">
        <v>155</v>
      </c>
      <c r="E137" t="s">
        <v>774</v>
      </c>
      <c r="F137" t="s">
        <v>158</v>
      </c>
      <c r="G137" t="s">
        <v>158</v>
      </c>
      <c r="H137" t="s">
        <v>158</v>
      </c>
      <c r="I137" t="s">
        <v>158</v>
      </c>
      <c r="J137" t="s">
        <v>775</v>
      </c>
      <c r="K137">
        <v>6</v>
      </c>
      <c r="L137">
        <v>2</v>
      </c>
      <c r="M137">
        <v>20</v>
      </c>
      <c r="N137">
        <v>18</v>
      </c>
    </row>
    <row r="138" spans="1:14">
      <c r="A138" t="s">
        <v>309</v>
      </c>
      <c r="B138" t="s">
        <v>776</v>
      </c>
      <c r="C138" t="s">
        <v>381</v>
      </c>
      <c r="D138" t="s">
        <v>155</v>
      </c>
      <c r="E138" t="s">
        <v>777</v>
      </c>
      <c r="F138" t="s">
        <v>778</v>
      </c>
      <c r="G138" t="s">
        <v>779</v>
      </c>
      <c r="H138" t="s">
        <v>780</v>
      </c>
      <c r="I138" t="s">
        <v>781</v>
      </c>
      <c r="J138" t="s">
        <v>782</v>
      </c>
      <c r="K138">
        <v>11</v>
      </c>
      <c r="L138">
        <v>7</v>
      </c>
      <c r="M138">
        <v>20</v>
      </c>
      <c r="N138">
        <v>13</v>
      </c>
    </row>
    <row r="139" spans="1:14">
      <c r="A139" t="s">
        <v>249</v>
      </c>
      <c r="B139" t="s">
        <v>783</v>
      </c>
      <c r="C139" t="s">
        <v>367</v>
      </c>
      <c r="D139" t="s">
        <v>155</v>
      </c>
      <c r="E139" t="s">
        <v>784</v>
      </c>
      <c r="F139" t="s">
        <v>785</v>
      </c>
      <c r="G139" t="s">
        <v>786</v>
      </c>
      <c r="H139" t="s">
        <v>158</v>
      </c>
      <c r="I139" t="s">
        <v>787</v>
      </c>
      <c r="J139" t="s">
        <v>788</v>
      </c>
      <c r="K139">
        <v>5</v>
      </c>
      <c r="L139">
        <v>0</v>
      </c>
      <c r="M139">
        <v>20</v>
      </c>
      <c r="N139">
        <v>20</v>
      </c>
    </row>
    <row r="140" spans="1:14">
      <c r="A140" t="s">
        <v>253</v>
      </c>
      <c r="B140" t="s">
        <v>789</v>
      </c>
      <c r="C140" t="s">
        <v>381</v>
      </c>
      <c r="D140" t="s">
        <v>155</v>
      </c>
      <c r="E140" t="s">
        <v>778</v>
      </c>
      <c r="F140" t="s">
        <v>790</v>
      </c>
      <c r="G140" t="s">
        <v>791</v>
      </c>
      <c r="H140" t="s">
        <v>792</v>
      </c>
      <c r="I140" t="s">
        <v>793</v>
      </c>
      <c r="J140" t="s">
        <v>794</v>
      </c>
      <c r="K140">
        <v>11</v>
      </c>
      <c r="L140">
        <v>6</v>
      </c>
      <c r="M140">
        <v>20</v>
      </c>
      <c r="N140">
        <v>14</v>
      </c>
    </row>
    <row r="141" spans="1:14">
      <c r="A141" t="s">
        <v>795</v>
      </c>
      <c r="E141" t="s">
        <v>160</v>
      </c>
      <c r="F141" t="s">
        <v>796</v>
      </c>
      <c r="G141" t="s">
        <v>172</v>
      </c>
      <c r="H141" t="s">
        <v>158</v>
      </c>
      <c r="I141" t="s">
        <v>172</v>
      </c>
      <c r="J141" t="s">
        <v>333</v>
      </c>
      <c r="K141">
        <v>2</v>
      </c>
      <c r="L141">
        <v>0.5</v>
      </c>
      <c r="M141">
        <v>20</v>
      </c>
      <c r="N141">
        <v>19.5</v>
      </c>
    </row>
    <row r="142" spans="1:14">
      <c r="A142" t="s">
        <v>797</v>
      </c>
      <c r="E142" t="s">
        <v>158</v>
      </c>
      <c r="F142" t="s">
        <v>798</v>
      </c>
      <c r="G142" t="s">
        <v>799</v>
      </c>
      <c r="H142" t="s">
        <v>158</v>
      </c>
      <c r="I142" t="s">
        <v>800</v>
      </c>
      <c r="J142" t="s">
        <v>801</v>
      </c>
      <c r="K142">
        <v>0</v>
      </c>
      <c r="L142">
        <v>0.5</v>
      </c>
      <c r="M142">
        <v>20</v>
      </c>
      <c r="N142">
        <v>19.5</v>
      </c>
    </row>
    <row r="143" spans="1:14">
      <c r="A143" t="s">
        <v>259</v>
      </c>
      <c r="E143" t="s">
        <v>168</v>
      </c>
      <c r="F143" t="s">
        <v>802</v>
      </c>
      <c r="G143" t="s">
        <v>803</v>
      </c>
      <c r="H143" t="s">
        <v>804</v>
      </c>
      <c r="I143" t="s">
        <v>805</v>
      </c>
      <c r="J143" t="s">
        <v>806</v>
      </c>
      <c r="K143">
        <v>1</v>
      </c>
      <c r="L143">
        <v>2</v>
      </c>
      <c r="M143">
        <v>20</v>
      </c>
      <c r="N143">
        <v>18</v>
      </c>
    </row>
    <row r="144" spans="1:14">
      <c r="A144" t="s">
        <v>279</v>
      </c>
      <c r="E144" t="s">
        <v>807</v>
      </c>
      <c r="F144" t="s">
        <v>158</v>
      </c>
      <c r="G144" t="s">
        <v>808</v>
      </c>
      <c r="H144" t="s">
        <v>809</v>
      </c>
      <c r="I144" t="s">
        <v>331</v>
      </c>
      <c r="J144" t="s">
        <v>810</v>
      </c>
      <c r="K144">
        <v>21</v>
      </c>
      <c r="L144">
        <v>-2</v>
      </c>
      <c r="M144">
        <v>20</v>
      </c>
      <c r="N144">
        <v>22</v>
      </c>
    </row>
  </sheetData>
  <sortState ref="A2:N144">
    <sortCondition ref="A2:A1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8"/>
  <sheetViews>
    <sheetView workbookViewId="0">
      <selection activeCell="G23" sqref="G23"/>
    </sheetView>
  </sheetViews>
  <sheetFormatPr defaultRowHeight="14.4"/>
  <sheetData>
    <row r="1" spans="1:4">
      <c r="A1" s="1" t="s">
        <v>0</v>
      </c>
      <c r="B1" s="1" t="s">
        <v>177</v>
      </c>
      <c r="C1" s="1" t="s">
        <v>178</v>
      </c>
      <c r="D1" s="1" t="s">
        <v>179</v>
      </c>
    </row>
    <row r="2" spans="1:4">
      <c r="A2" t="s">
        <v>16</v>
      </c>
      <c r="B2">
        <v>0</v>
      </c>
      <c r="C2">
        <v>0</v>
      </c>
      <c r="D2">
        <v>0</v>
      </c>
    </row>
    <row r="3" spans="1:4">
      <c r="A3" t="s">
        <v>17</v>
      </c>
      <c r="B3">
        <v>0</v>
      </c>
      <c r="C3">
        <v>0</v>
      </c>
      <c r="D3">
        <v>0</v>
      </c>
    </row>
    <row r="4" spans="1:4">
      <c r="A4" t="s">
        <v>18</v>
      </c>
      <c r="B4">
        <v>0</v>
      </c>
      <c r="C4">
        <v>0</v>
      </c>
      <c r="D4">
        <v>0</v>
      </c>
    </row>
    <row r="5" spans="1:4">
      <c r="A5" t="s">
        <v>116</v>
      </c>
      <c r="B5">
        <v>0</v>
      </c>
      <c r="C5">
        <v>0</v>
      </c>
      <c r="D5">
        <v>0</v>
      </c>
    </row>
    <row r="6" spans="1:4">
      <c r="A6" t="s">
        <v>19</v>
      </c>
      <c r="B6">
        <v>0</v>
      </c>
      <c r="C6">
        <v>0</v>
      </c>
      <c r="D6">
        <v>0</v>
      </c>
    </row>
    <row r="7" spans="1:4">
      <c r="A7" t="s">
        <v>117</v>
      </c>
      <c r="B7">
        <v>0</v>
      </c>
      <c r="C7">
        <v>0</v>
      </c>
      <c r="D7">
        <v>0</v>
      </c>
    </row>
    <row r="8" spans="1:4">
      <c r="A8" t="s">
        <v>20</v>
      </c>
      <c r="B8">
        <v>0</v>
      </c>
      <c r="C8">
        <v>0</v>
      </c>
      <c r="D8">
        <v>0</v>
      </c>
    </row>
    <row r="9" spans="1:4">
      <c r="A9" t="s">
        <v>21</v>
      </c>
      <c r="B9">
        <v>0</v>
      </c>
      <c r="C9">
        <v>0</v>
      </c>
      <c r="D9">
        <v>0</v>
      </c>
    </row>
    <row r="10" spans="1:4">
      <c r="A10" t="s">
        <v>22</v>
      </c>
      <c r="B10">
        <v>0</v>
      </c>
      <c r="C10">
        <v>0</v>
      </c>
      <c r="D10">
        <v>0</v>
      </c>
    </row>
    <row r="11" spans="1:4">
      <c r="A11" t="s">
        <v>23</v>
      </c>
      <c r="B11">
        <v>2</v>
      </c>
      <c r="C11">
        <v>0</v>
      </c>
      <c r="D11">
        <v>0</v>
      </c>
    </row>
    <row r="12" spans="1:4">
      <c r="A12" t="s">
        <v>24</v>
      </c>
      <c r="B12">
        <v>0</v>
      </c>
      <c r="C12">
        <v>0</v>
      </c>
      <c r="D12">
        <v>0</v>
      </c>
    </row>
    <row r="13" spans="1:4">
      <c r="A13" t="s">
        <v>25</v>
      </c>
      <c r="B13">
        <v>0</v>
      </c>
      <c r="C13">
        <v>0</v>
      </c>
      <c r="D13">
        <v>0</v>
      </c>
    </row>
    <row r="14" spans="1:4">
      <c r="A14" t="s">
        <v>26</v>
      </c>
      <c r="B14">
        <v>0</v>
      </c>
      <c r="C14">
        <v>0</v>
      </c>
      <c r="D14">
        <v>0</v>
      </c>
    </row>
    <row r="15" spans="1:4">
      <c r="A15" t="s">
        <v>27</v>
      </c>
      <c r="B15">
        <v>0</v>
      </c>
      <c r="C15">
        <v>0</v>
      </c>
      <c r="D15">
        <v>0</v>
      </c>
    </row>
    <row r="16" spans="1:4">
      <c r="A16" t="s">
        <v>28</v>
      </c>
      <c r="B16">
        <v>0</v>
      </c>
      <c r="C16">
        <v>0</v>
      </c>
      <c r="D16">
        <v>0</v>
      </c>
    </row>
    <row r="17" spans="1:4">
      <c r="A17" t="s">
        <v>118</v>
      </c>
      <c r="B17">
        <v>0</v>
      </c>
      <c r="C17">
        <v>0</v>
      </c>
      <c r="D17">
        <v>0</v>
      </c>
    </row>
    <row r="18" spans="1:4">
      <c r="A18" t="s">
        <v>29</v>
      </c>
      <c r="B18">
        <v>0</v>
      </c>
      <c r="C18">
        <v>0</v>
      </c>
      <c r="D18">
        <v>0</v>
      </c>
    </row>
    <row r="19" spans="1:4">
      <c r="A19" t="s">
        <v>30</v>
      </c>
      <c r="B19">
        <v>2</v>
      </c>
      <c r="C19">
        <v>0</v>
      </c>
      <c r="D19">
        <v>0</v>
      </c>
    </row>
    <row r="20" spans="1:4">
      <c r="A20" t="s">
        <v>31</v>
      </c>
      <c r="B20">
        <v>3</v>
      </c>
      <c r="C20">
        <v>0</v>
      </c>
      <c r="D20">
        <v>0</v>
      </c>
    </row>
    <row r="21" spans="1:4">
      <c r="A21" t="s">
        <v>32</v>
      </c>
      <c r="B21">
        <v>0</v>
      </c>
      <c r="C21">
        <v>0</v>
      </c>
      <c r="D21">
        <v>0</v>
      </c>
    </row>
    <row r="22" spans="1:4">
      <c r="A22" t="s">
        <v>33</v>
      </c>
      <c r="B22">
        <v>0</v>
      </c>
      <c r="C22">
        <v>0</v>
      </c>
      <c r="D22">
        <v>0</v>
      </c>
    </row>
    <row r="23" spans="1:4">
      <c r="A23" t="s">
        <v>119</v>
      </c>
      <c r="B23">
        <v>0</v>
      </c>
      <c r="C23">
        <v>0</v>
      </c>
      <c r="D23">
        <v>0</v>
      </c>
    </row>
    <row r="24" spans="1:4">
      <c r="A24" t="s">
        <v>34</v>
      </c>
      <c r="B24">
        <v>0</v>
      </c>
      <c r="C24">
        <v>0</v>
      </c>
      <c r="D24">
        <v>0</v>
      </c>
    </row>
    <row r="25" spans="1:4">
      <c r="A25" t="s">
        <v>35</v>
      </c>
      <c r="B25">
        <v>0</v>
      </c>
      <c r="C25">
        <v>0</v>
      </c>
      <c r="D25">
        <v>0</v>
      </c>
    </row>
    <row r="26" spans="1:4">
      <c r="A26" t="s">
        <v>36</v>
      </c>
      <c r="B26">
        <v>0</v>
      </c>
      <c r="C26">
        <v>0</v>
      </c>
      <c r="D26">
        <v>0</v>
      </c>
    </row>
    <row r="27" spans="1:4">
      <c r="A27" t="s">
        <v>37</v>
      </c>
      <c r="B27">
        <v>1</v>
      </c>
      <c r="C27">
        <v>0</v>
      </c>
      <c r="D27">
        <v>0</v>
      </c>
    </row>
    <row r="28" spans="1:4">
      <c r="A28" t="s">
        <v>38</v>
      </c>
      <c r="B28">
        <v>0</v>
      </c>
      <c r="C28">
        <v>0</v>
      </c>
      <c r="D28">
        <v>0</v>
      </c>
    </row>
    <row r="29" spans="1:4">
      <c r="A29" t="s">
        <v>39</v>
      </c>
      <c r="B29">
        <v>0</v>
      </c>
      <c r="C29">
        <v>0</v>
      </c>
      <c r="D29">
        <v>0</v>
      </c>
    </row>
    <row r="30" spans="1:4">
      <c r="A30" t="s">
        <v>41</v>
      </c>
      <c r="B30">
        <v>2</v>
      </c>
      <c r="C30">
        <v>0</v>
      </c>
      <c r="D30">
        <v>0</v>
      </c>
    </row>
    <row r="31" spans="1:4">
      <c r="A31" t="s">
        <v>42</v>
      </c>
      <c r="B31">
        <v>0</v>
      </c>
      <c r="C31">
        <v>0</v>
      </c>
      <c r="D31">
        <v>0</v>
      </c>
    </row>
    <row r="32" spans="1:4">
      <c r="A32" t="s">
        <v>43</v>
      </c>
      <c r="B32">
        <v>0</v>
      </c>
      <c r="C32">
        <v>0</v>
      </c>
      <c r="D32">
        <v>0</v>
      </c>
    </row>
    <row r="33" spans="1:4">
      <c r="A33" t="s">
        <v>44</v>
      </c>
      <c r="B33">
        <v>0</v>
      </c>
      <c r="C33">
        <v>0</v>
      </c>
      <c r="D33">
        <v>0</v>
      </c>
    </row>
    <row r="34" spans="1:4">
      <c r="A34" t="s">
        <v>45</v>
      </c>
      <c r="B34">
        <v>0</v>
      </c>
      <c r="C34">
        <v>0</v>
      </c>
      <c r="D34">
        <v>0</v>
      </c>
    </row>
    <row r="35" spans="1:4">
      <c r="A35" t="s">
        <v>46</v>
      </c>
      <c r="B35">
        <v>0</v>
      </c>
      <c r="C35">
        <v>0</v>
      </c>
      <c r="D35">
        <v>0</v>
      </c>
    </row>
    <row r="36" spans="1:4">
      <c r="A36" t="s">
        <v>47</v>
      </c>
      <c r="B36">
        <v>0</v>
      </c>
      <c r="C36">
        <v>0</v>
      </c>
      <c r="D36">
        <v>0</v>
      </c>
    </row>
    <row r="37" spans="1:4">
      <c r="A37" t="s">
        <v>180</v>
      </c>
      <c r="B37">
        <v>0</v>
      </c>
      <c r="C37">
        <v>0</v>
      </c>
      <c r="D37">
        <v>0</v>
      </c>
    </row>
    <row r="38" spans="1:4">
      <c r="A38" t="s">
        <v>181</v>
      </c>
      <c r="B38">
        <v>0</v>
      </c>
      <c r="C38">
        <v>0</v>
      </c>
      <c r="D38">
        <v>0</v>
      </c>
    </row>
    <row r="39" spans="1:4">
      <c r="A39" t="s">
        <v>182</v>
      </c>
      <c r="B39">
        <v>0</v>
      </c>
      <c r="C39">
        <v>0</v>
      </c>
      <c r="D39">
        <v>0</v>
      </c>
    </row>
    <row r="40" spans="1:4">
      <c r="A40" t="s">
        <v>48</v>
      </c>
      <c r="B40">
        <v>0</v>
      </c>
      <c r="C40">
        <v>0</v>
      </c>
      <c r="D40">
        <v>0</v>
      </c>
    </row>
    <row r="41" spans="1:4">
      <c r="A41" t="s">
        <v>49</v>
      </c>
      <c r="B41">
        <v>0</v>
      </c>
      <c r="C41">
        <v>0</v>
      </c>
      <c r="D41">
        <v>0</v>
      </c>
    </row>
    <row r="42" spans="1:4">
      <c r="A42" t="s">
        <v>50</v>
      </c>
      <c r="B42">
        <v>0</v>
      </c>
      <c r="C42">
        <v>0</v>
      </c>
      <c r="D42">
        <v>0</v>
      </c>
    </row>
    <row r="43" spans="1:4">
      <c r="A43" t="s">
        <v>51</v>
      </c>
      <c r="B43">
        <v>0</v>
      </c>
      <c r="C43">
        <v>0</v>
      </c>
      <c r="D43">
        <v>0</v>
      </c>
    </row>
    <row r="44" spans="1:4">
      <c r="A44" t="s">
        <v>52</v>
      </c>
      <c r="B44">
        <v>0</v>
      </c>
      <c r="C44">
        <v>0</v>
      </c>
      <c r="D44">
        <v>0</v>
      </c>
    </row>
    <row r="45" spans="1:4">
      <c r="A45" t="s">
        <v>183</v>
      </c>
      <c r="B45">
        <v>0</v>
      </c>
      <c r="C45">
        <v>0</v>
      </c>
      <c r="D45">
        <v>0</v>
      </c>
    </row>
    <row r="46" spans="1:4">
      <c r="A46" t="s">
        <v>53</v>
      </c>
      <c r="B46">
        <v>0</v>
      </c>
      <c r="C46">
        <v>0</v>
      </c>
      <c r="D46">
        <v>0</v>
      </c>
    </row>
    <row r="47" spans="1:4">
      <c r="A47" t="s">
        <v>54</v>
      </c>
      <c r="B47">
        <v>0</v>
      </c>
      <c r="C47">
        <v>0</v>
      </c>
      <c r="D47">
        <v>0</v>
      </c>
    </row>
    <row r="48" spans="1:4">
      <c r="A48" t="s">
        <v>55</v>
      </c>
      <c r="B48">
        <v>0</v>
      </c>
      <c r="C48">
        <v>0</v>
      </c>
      <c r="D48">
        <v>0</v>
      </c>
    </row>
    <row r="49" spans="1:4">
      <c r="A49" t="s">
        <v>184</v>
      </c>
      <c r="B49">
        <v>0</v>
      </c>
      <c r="C49">
        <v>0</v>
      </c>
      <c r="D49">
        <v>0</v>
      </c>
    </row>
    <row r="50" spans="1:4">
      <c r="A50" t="s">
        <v>120</v>
      </c>
      <c r="B50">
        <v>0</v>
      </c>
      <c r="C50">
        <v>0</v>
      </c>
      <c r="D50">
        <v>0</v>
      </c>
    </row>
    <row r="51" spans="1:4">
      <c r="A51" t="s">
        <v>56</v>
      </c>
      <c r="B51">
        <v>0</v>
      </c>
      <c r="C51">
        <v>0</v>
      </c>
      <c r="D51">
        <v>0</v>
      </c>
    </row>
    <row r="52" spans="1:4">
      <c r="A52" t="s">
        <v>57</v>
      </c>
      <c r="B52">
        <v>0</v>
      </c>
      <c r="C52">
        <v>0</v>
      </c>
      <c r="D52">
        <v>0</v>
      </c>
    </row>
    <row r="53" spans="1:4">
      <c r="A53" t="s">
        <v>58</v>
      </c>
      <c r="B53">
        <v>0</v>
      </c>
      <c r="C53">
        <v>0</v>
      </c>
      <c r="D53">
        <v>0</v>
      </c>
    </row>
    <row r="54" spans="1:4">
      <c r="A54" t="s">
        <v>121</v>
      </c>
      <c r="B54">
        <v>0</v>
      </c>
      <c r="C54">
        <v>0</v>
      </c>
      <c r="D54">
        <v>0</v>
      </c>
    </row>
    <row r="55" spans="1:4">
      <c r="A55" t="s">
        <v>122</v>
      </c>
      <c r="B55">
        <v>0</v>
      </c>
      <c r="C55">
        <v>0</v>
      </c>
      <c r="D55">
        <v>0</v>
      </c>
    </row>
    <row r="56" spans="1:4">
      <c r="A56" t="s">
        <v>59</v>
      </c>
      <c r="B56">
        <v>0</v>
      </c>
      <c r="C56">
        <v>0</v>
      </c>
      <c r="D56">
        <v>0</v>
      </c>
    </row>
    <row r="57" spans="1:4">
      <c r="A57" t="s">
        <v>60</v>
      </c>
      <c r="B57">
        <v>0</v>
      </c>
      <c r="C57">
        <v>0</v>
      </c>
      <c r="D57">
        <v>0</v>
      </c>
    </row>
    <row r="58" spans="1:4">
      <c r="A58" t="s">
        <v>123</v>
      </c>
      <c r="B58">
        <v>0</v>
      </c>
      <c r="C58">
        <v>0</v>
      </c>
      <c r="D58">
        <v>0</v>
      </c>
    </row>
    <row r="59" spans="1:4">
      <c r="A59" t="s">
        <v>124</v>
      </c>
      <c r="B59">
        <v>0</v>
      </c>
      <c r="C59">
        <v>0</v>
      </c>
      <c r="D59">
        <v>0</v>
      </c>
    </row>
    <row r="60" spans="1:4">
      <c r="A60" t="s">
        <v>125</v>
      </c>
      <c r="B60">
        <v>0</v>
      </c>
      <c r="C60">
        <v>0</v>
      </c>
      <c r="D60">
        <v>0</v>
      </c>
    </row>
    <row r="61" spans="1:4">
      <c r="A61" t="s">
        <v>61</v>
      </c>
      <c r="B61">
        <v>0</v>
      </c>
      <c r="C61">
        <v>0</v>
      </c>
      <c r="D61">
        <v>0</v>
      </c>
    </row>
    <row r="62" spans="1:4">
      <c r="A62" t="s">
        <v>126</v>
      </c>
      <c r="B62">
        <v>0</v>
      </c>
      <c r="C62">
        <v>0</v>
      </c>
      <c r="D62">
        <v>0</v>
      </c>
    </row>
    <row r="63" spans="1:4">
      <c r="A63" t="s">
        <v>127</v>
      </c>
      <c r="B63">
        <v>0</v>
      </c>
      <c r="C63">
        <v>0</v>
      </c>
      <c r="D63">
        <v>0</v>
      </c>
    </row>
    <row r="64" spans="1:4">
      <c r="A64" t="s">
        <v>62</v>
      </c>
      <c r="B64">
        <v>0</v>
      </c>
      <c r="C64">
        <v>0</v>
      </c>
      <c r="D64">
        <v>0</v>
      </c>
    </row>
    <row r="65" spans="1:4">
      <c r="A65" t="s">
        <v>63</v>
      </c>
      <c r="B65">
        <v>0</v>
      </c>
      <c r="C65">
        <v>0</v>
      </c>
      <c r="D65">
        <v>0</v>
      </c>
    </row>
    <row r="66" spans="1:4">
      <c r="A66" t="s">
        <v>128</v>
      </c>
      <c r="B66">
        <v>0</v>
      </c>
      <c r="C66">
        <v>0</v>
      </c>
      <c r="D66">
        <v>0</v>
      </c>
    </row>
    <row r="67" spans="1:4">
      <c r="A67" t="s">
        <v>129</v>
      </c>
      <c r="B67">
        <v>0</v>
      </c>
      <c r="C67">
        <v>0</v>
      </c>
      <c r="D67">
        <v>0</v>
      </c>
    </row>
    <row r="68" spans="1:4">
      <c r="A68" t="s">
        <v>130</v>
      </c>
      <c r="B68">
        <v>0</v>
      </c>
      <c r="C68">
        <v>0</v>
      </c>
      <c r="D68">
        <v>0</v>
      </c>
    </row>
    <row r="69" spans="1:4">
      <c r="A69" t="s">
        <v>131</v>
      </c>
      <c r="B69">
        <v>0</v>
      </c>
      <c r="C69">
        <v>0</v>
      </c>
      <c r="D69">
        <v>0</v>
      </c>
    </row>
    <row r="70" spans="1:4">
      <c r="A70" t="s">
        <v>132</v>
      </c>
      <c r="B70">
        <v>0</v>
      </c>
      <c r="C70">
        <v>0</v>
      </c>
      <c r="D70">
        <v>0</v>
      </c>
    </row>
    <row r="71" spans="1:4">
      <c r="A71" t="s">
        <v>133</v>
      </c>
      <c r="B71">
        <v>0</v>
      </c>
      <c r="C71">
        <v>0</v>
      </c>
      <c r="D71">
        <v>0</v>
      </c>
    </row>
    <row r="72" spans="1:4">
      <c r="A72" t="s">
        <v>134</v>
      </c>
      <c r="B72">
        <v>0</v>
      </c>
      <c r="C72">
        <v>0</v>
      </c>
      <c r="D72">
        <v>0</v>
      </c>
    </row>
    <row r="73" spans="1:4">
      <c r="A73" t="s">
        <v>135</v>
      </c>
      <c r="B73">
        <v>0</v>
      </c>
      <c r="C73">
        <v>0</v>
      </c>
      <c r="D73">
        <v>0</v>
      </c>
    </row>
    <row r="74" spans="1:4">
      <c r="A74" t="s">
        <v>136</v>
      </c>
      <c r="B74">
        <v>0</v>
      </c>
      <c r="C74">
        <v>0</v>
      </c>
      <c r="D74">
        <v>0</v>
      </c>
    </row>
    <row r="75" spans="1:4">
      <c r="A75" t="s">
        <v>64</v>
      </c>
      <c r="B75">
        <v>0</v>
      </c>
      <c r="C75">
        <v>0</v>
      </c>
      <c r="D75">
        <v>0</v>
      </c>
    </row>
    <row r="76" spans="1:4">
      <c r="A76" t="s">
        <v>65</v>
      </c>
      <c r="B76">
        <v>0</v>
      </c>
      <c r="C76">
        <v>0</v>
      </c>
      <c r="D76">
        <v>0</v>
      </c>
    </row>
    <row r="77" spans="1:4">
      <c r="A77" t="s">
        <v>185</v>
      </c>
      <c r="B77">
        <v>0</v>
      </c>
      <c r="C77">
        <v>0</v>
      </c>
      <c r="D77">
        <v>0</v>
      </c>
    </row>
    <row r="78" spans="1:4">
      <c r="A78" t="s">
        <v>137</v>
      </c>
      <c r="B78">
        <v>0</v>
      </c>
      <c r="C78">
        <v>0</v>
      </c>
      <c r="D78">
        <v>0</v>
      </c>
    </row>
    <row r="79" spans="1:4">
      <c r="A79" t="s">
        <v>138</v>
      </c>
      <c r="B79">
        <v>0</v>
      </c>
      <c r="C79">
        <v>0</v>
      </c>
      <c r="D79">
        <v>0</v>
      </c>
    </row>
    <row r="80" spans="1:4">
      <c r="A80" t="s">
        <v>139</v>
      </c>
      <c r="B80">
        <v>0</v>
      </c>
      <c r="C80">
        <v>0</v>
      </c>
      <c r="D80">
        <v>0</v>
      </c>
    </row>
    <row r="81" spans="1:4">
      <c r="A81" t="s">
        <v>186</v>
      </c>
      <c r="B81">
        <v>0</v>
      </c>
      <c r="C81">
        <v>0</v>
      </c>
      <c r="D81">
        <v>0</v>
      </c>
    </row>
    <row r="82" spans="1:4">
      <c r="A82" t="s">
        <v>66</v>
      </c>
      <c r="B82">
        <v>0</v>
      </c>
      <c r="C82">
        <v>0</v>
      </c>
      <c r="D82">
        <v>0</v>
      </c>
    </row>
    <row r="83" spans="1:4">
      <c r="A83" t="s">
        <v>67</v>
      </c>
      <c r="B83">
        <v>0</v>
      </c>
      <c r="C83">
        <v>0</v>
      </c>
      <c r="D83">
        <v>0</v>
      </c>
    </row>
    <row r="84" spans="1:4">
      <c r="A84" t="s">
        <v>68</v>
      </c>
      <c r="B84">
        <v>0</v>
      </c>
      <c r="C84">
        <v>0</v>
      </c>
      <c r="D84">
        <v>0</v>
      </c>
    </row>
    <row r="85" spans="1:4">
      <c r="A85" t="s">
        <v>140</v>
      </c>
      <c r="B85">
        <v>0</v>
      </c>
      <c r="C85">
        <v>0</v>
      </c>
      <c r="D85">
        <v>0</v>
      </c>
    </row>
    <row r="86" spans="1:4">
      <c r="A86" t="s">
        <v>187</v>
      </c>
      <c r="B86">
        <v>0</v>
      </c>
      <c r="C86">
        <v>0</v>
      </c>
      <c r="D86">
        <v>0</v>
      </c>
    </row>
    <row r="87" spans="1:4">
      <c r="A87" t="s">
        <v>188</v>
      </c>
      <c r="B87">
        <v>0</v>
      </c>
      <c r="C87">
        <v>0</v>
      </c>
      <c r="D87">
        <v>0</v>
      </c>
    </row>
    <row r="88" spans="1:4">
      <c r="A88" t="s">
        <v>189</v>
      </c>
      <c r="B88">
        <v>0</v>
      </c>
      <c r="C88">
        <v>0</v>
      </c>
      <c r="D88">
        <v>0</v>
      </c>
    </row>
    <row r="89" spans="1:4">
      <c r="A89" t="s">
        <v>69</v>
      </c>
      <c r="B89">
        <v>0</v>
      </c>
      <c r="C89">
        <v>0</v>
      </c>
      <c r="D89">
        <v>0</v>
      </c>
    </row>
    <row r="90" spans="1:4">
      <c r="A90" t="s">
        <v>70</v>
      </c>
      <c r="B90">
        <v>0</v>
      </c>
      <c r="C90">
        <v>0</v>
      </c>
      <c r="D90">
        <v>0</v>
      </c>
    </row>
    <row r="91" spans="1:4">
      <c r="A91" t="s">
        <v>141</v>
      </c>
      <c r="B91">
        <v>0</v>
      </c>
      <c r="C91">
        <v>0</v>
      </c>
      <c r="D91">
        <v>0</v>
      </c>
    </row>
    <row r="92" spans="1:4">
      <c r="A92" t="s">
        <v>71</v>
      </c>
      <c r="B92">
        <v>0</v>
      </c>
      <c r="C92">
        <v>0</v>
      </c>
      <c r="D92">
        <v>0</v>
      </c>
    </row>
    <row r="93" spans="1:4">
      <c r="A93" t="s">
        <v>72</v>
      </c>
      <c r="B93">
        <v>1</v>
      </c>
      <c r="C93">
        <v>0</v>
      </c>
      <c r="D93">
        <v>0</v>
      </c>
    </row>
    <row r="94" spans="1:4">
      <c r="A94" t="s">
        <v>190</v>
      </c>
      <c r="B94">
        <v>0</v>
      </c>
      <c r="C94">
        <v>0</v>
      </c>
      <c r="D94">
        <v>0</v>
      </c>
    </row>
    <row r="95" spans="1:4">
      <c r="A95" t="s">
        <v>142</v>
      </c>
      <c r="B95">
        <v>0</v>
      </c>
      <c r="C95">
        <v>0</v>
      </c>
      <c r="D95">
        <v>0</v>
      </c>
    </row>
    <row r="96" spans="1:4">
      <c r="A96" t="s">
        <v>73</v>
      </c>
      <c r="B96">
        <v>0</v>
      </c>
      <c r="C96">
        <v>0</v>
      </c>
      <c r="D96">
        <v>0</v>
      </c>
    </row>
    <row r="97" spans="1:4">
      <c r="A97" t="s">
        <v>74</v>
      </c>
      <c r="B97">
        <v>0</v>
      </c>
      <c r="C97">
        <v>0</v>
      </c>
      <c r="D97">
        <v>0</v>
      </c>
    </row>
    <row r="98" spans="1:4">
      <c r="A98" t="s">
        <v>191</v>
      </c>
      <c r="B98">
        <v>0</v>
      </c>
      <c r="C98">
        <v>0</v>
      </c>
      <c r="D98">
        <v>0</v>
      </c>
    </row>
    <row r="99" spans="1:4">
      <c r="A99" t="s">
        <v>75</v>
      </c>
      <c r="B99">
        <v>0</v>
      </c>
      <c r="C99">
        <v>0</v>
      </c>
      <c r="D99">
        <v>0</v>
      </c>
    </row>
    <row r="100" spans="1:4">
      <c r="A100" t="s">
        <v>76</v>
      </c>
      <c r="B100">
        <v>3</v>
      </c>
      <c r="C100">
        <v>0</v>
      </c>
      <c r="D100">
        <v>0</v>
      </c>
    </row>
    <row r="101" spans="1:4">
      <c r="A101" t="s">
        <v>77</v>
      </c>
      <c r="B101">
        <v>0</v>
      </c>
      <c r="C101">
        <v>0</v>
      </c>
      <c r="D101">
        <v>0</v>
      </c>
    </row>
    <row r="102" spans="1:4">
      <c r="A102" t="s">
        <v>192</v>
      </c>
      <c r="B102">
        <v>0</v>
      </c>
      <c r="C102">
        <v>0</v>
      </c>
      <c r="D102">
        <v>0</v>
      </c>
    </row>
    <row r="103" spans="1:4">
      <c r="A103" t="s">
        <v>78</v>
      </c>
      <c r="B103">
        <v>3</v>
      </c>
      <c r="C103">
        <v>0</v>
      </c>
      <c r="D103">
        <v>0</v>
      </c>
    </row>
    <row r="104" spans="1:4">
      <c r="A104" t="s">
        <v>79</v>
      </c>
      <c r="B104">
        <v>0</v>
      </c>
      <c r="C104">
        <v>0</v>
      </c>
      <c r="D104">
        <v>0</v>
      </c>
    </row>
    <row r="105" spans="1:4">
      <c r="A105" t="s">
        <v>80</v>
      </c>
      <c r="B105">
        <v>0</v>
      </c>
      <c r="C105">
        <v>0</v>
      </c>
      <c r="D105">
        <v>0</v>
      </c>
    </row>
    <row r="106" spans="1:4">
      <c r="A106" t="s">
        <v>81</v>
      </c>
      <c r="B106">
        <v>2</v>
      </c>
      <c r="C106">
        <v>0</v>
      </c>
      <c r="D106">
        <v>0</v>
      </c>
    </row>
    <row r="107" spans="1:4">
      <c r="A107" t="s">
        <v>82</v>
      </c>
      <c r="B107">
        <v>0</v>
      </c>
      <c r="C107">
        <v>0</v>
      </c>
      <c r="D107">
        <v>0</v>
      </c>
    </row>
    <row r="108" spans="1:4">
      <c r="A108" t="s">
        <v>83</v>
      </c>
      <c r="B108">
        <v>0</v>
      </c>
      <c r="C108">
        <v>0</v>
      </c>
      <c r="D108">
        <v>0</v>
      </c>
    </row>
    <row r="109" spans="1:4">
      <c r="A109" t="s">
        <v>193</v>
      </c>
      <c r="B109">
        <v>0</v>
      </c>
      <c r="C109">
        <v>0</v>
      </c>
      <c r="D109">
        <v>0</v>
      </c>
    </row>
    <row r="110" spans="1:4">
      <c r="A110" t="s">
        <v>194</v>
      </c>
      <c r="B110">
        <v>0</v>
      </c>
      <c r="C110">
        <v>0</v>
      </c>
      <c r="D110">
        <v>0</v>
      </c>
    </row>
    <row r="111" spans="1:4">
      <c r="A111" t="s">
        <v>84</v>
      </c>
      <c r="B111">
        <v>0</v>
      </c>
      <c r="C111">
        <v>0</v>
      </c>
      <c r="D111">
        <v>0</v>
      </c>
    </row>
    <row r="112" spans="1:4">
      <c r="A112" t="s">
        <v>143</v>
      </c>
      <c r="B112">
        <v>0</v>
      </c>
      <c r="C112">
        <v>0</v>
      </c>
      <c r="D112">
        <v>0</v>
      </c>
    </row>
    <row r="113" spans="1:4">
      <c r="A113" t="s">
        <v>195</v>
      </c>
      <c r="B113">
        <v>0</v>
      </c>
      <c r="C113">
        <v>0</v>
      </c>
      <c r="D113">
        <v>0</v>
      </c>
    </row>
    <row r="114" spans="1:4">
      <c r="A114" t="s">
        <v>85</v>
      </c>
      <c r="B114">
        <v>0</v>
      </c>
      <c r="C114">
        <v>0</v>
      </c>
      <c r="D114">
        <v>0</v>
      </c>
    </row>
    <row r="115" spans="1:4">
      <c r="A115" t="s">
        <v>86</v>
      </c>
      <c r="B115">
        <v>0</v>
      </c>
      <c r="C115">
        <v>0</v>
      </c>
      <c r="D115">
        <v>0</v>
      </c>
    </row>
    <row r="116" spans="1:4">
      <c r="A116" t="s">
        <v>87</v>
      </c>
      <c r="B116">
        <v>0</v>
      </c>
      <c r="C116">
        <v>0</v>
      </c>
      <c r="D116">
        <v>0</v>
      </c>
    </row>
    <row r="117" spans="1:4">
      <c r="A117" t="s">
        <v>144</v>
      </c>
      <c r="B117">
        <v>0</v>
      </c>
      <c r="C117">
        <v>0</v>
      </c>
      <c r="D117">
        <v>0</v>
      </c>
    </row>
    <row r="118" spans="1:4">
      <c r="A118" t="s">
        <v>145</v>
      </c>
      <c r="B118">
        <v>0</v>
      </c>
      <c r="C118">
        <v>0</v>
      </c>
      <c r="D118">
        <v>0</v>
      </c>
    </row>
    <row r="119" spans="1:4">
      <c r="A119" t="s">
        <v>146</v>
      </c>
      <c r="B119">
        <v>0</v>
      </c>
      <c r="C119">
        <v>0</v>
      </c>
      <c r="D119">
        <v>0</v>
      </c>
    </row>
    <row r="120" spans="1:4">
      <c r="A120" t="s">
        <v>88</v>
      </c>
      <c r="B120">
        <v>0</v>
      </c>
      <c r="C120">
        <v>0</v>
      </c>
      <c r="D120">
        <v>0</v>
      </c>
    </row>
    <row r="121" spans="1:4">
      <c r="A121" t="s">
        <v>89</v>
      </c>
      <c r="B121">
        <v>0</v>
      </c>
      <c r="C121">
        <v>0</v>
      </c>
      <c r="D121">
        <v>0</v>
      </c>
    </row>
    <row r="122" spans="1:4">
      <c r="A122" t="s">
        <v>90</v>
      </c>
      <c r="B122">
        <v>0</v>
      </c>
      <c r="C122">
        <v>0</v>
      </c>
      <c r="D122">
        <v>0</v>
      </c>
    </row>
    <row r="123" spans="1:4">
      <c r="A123" t="s">
        <v>91</v>
      </c>
      <c r="B123">
        <v>0</v>
      </c>
      <c r="C123">
        <v>0</v>
      </c>
      <c r="D123">
        <v>0</v>
      </c>
    </row>
    <row r="124" spans="1:4">
      <c r="A124" t="s">
        <v>111</v>
      </c>
      <c r="B124">
        <v>2</v>
      </c>
      <c r="C124">
        <v>0</v>
      </c>
      <c r="D124">
        <v>0</v>
      </c>
    </row>
    <row r="125" spans="1:4">
      <c r="A125" t="s">
        <v>15</v>
      </c>
      <c r="B125">
        <v>2</v>
      </c>
      <c r="C125">
        <v>0</v>
      </c>
      <c r="D125">
        <v>0</v>
      </c>
    </row>
    <row r="126" spans="1:4">
      <c r="A126" t="s">
        <v>113</v>
      </c>
      <c r="B126">
        <v>2</v>
      </c>
      <c r="C126">
        <v>0</v>
      </c>
      <c r="D126">
        <v>0</v>
      </c>
    </row>
    <row r="127" spans="1:4">
      <c r="A127" t="s">
        <v>196</v>
      </c>
      <c r="B127">
        <v>2</v>
      </c>
      <c r="C127">
        <v>0</v>
      </c>
      <c r="D127">
        <v>0</v>
      </c>
    </row>
    <row r="128" spans="1:4">
      <c r="A128" t="s">
        <v>197</v>
      </c>
      <c r="B128">
        <v>0</v>
      </c>
      <c r="C128">
        <v>0</v>
      </c>
      <c r="D128">
        <v>0</v>
      </c>
    </row>
    <row r="129" spans="1:4">
      <c r="A129" t="s">
        <v>198</v>
      </c>
      <c r="B129">
        <v>0</v>
      </c>
      <c r="C129">
        <v>0</v>
      </c>
      <c r="D129">
        <v>0</v>
      </c>
    </row>
    <row r="130" spans="1:4">
      <c r="A130" t="s">
        <v>199</v>
      </c>
      <c r="B130">
        <v>0</v>
      </c>
      <c r="C130">
        <v>0</v>
      </c>
      <c r="D130">
        <v>0</v>
      </c>
    </row>
    <row r="131" spans="1:4">
      <c r="A131" t="s">
        <v>200</v>
      </c>
      <c r="B131">
        <v>0</v>
      </c>
      <c r="C131">
        <v>0</v>
      </c>
      <c r="D131">
        <v>0</v>
      </c>
    </row>
    <row r="132" spans="1:4">
      <c r="A132" t="s">
        <v>109</v>
      </c>
      <c r="B132">
        <v>0</v>
      </c>
      <c r="C132">
        <v>0</v>
      </c>
      <c r="D132">
        <v>0</v>
      </c>
    </row>
    <row r="133" spans="1:4">
      <c r="A133" t="s">
        <v>201</v>
      </c>
      <c r="B133">
        <v>3</v>
      </c>
      <c r="C133">
        <v>0</v>
      </c>
      <c r="D133">
        <v>0</v>
      </c>
    </row>
    <row r="134" spans="1:4">
      <c r="A134" t="s">
        <v>202</v>
      </c>
      <c r="B134">
        <v>0</v>
      </c>
      <c r="C134">
        <v>0</v>
      </c>
      <c r="D134">
        <v>0</v>
      </c>
    </row>
    <row r="135" spans="1:4">
      <c r="A135" t="s">
        <v>203</v>
      </c>
      <c r="B135">
        <v>0</v>
      </c>
      <c r="C135">
        <v>0</v>
      </c>
      <c r="D135">
        <v>0</v>
      </c>
    </row>
    <row r="136" spans="1:4">
      <c r="A136" t="s">
        <v>92</v>
      </c>
      <c r="B136">
        <v>3</v>
      </c>
      <c r="C136">
        <v>0</v>
      </c>
      <c r="D136">
        <v>0</v>
      </c>
    </row>
    <row r="137" spans="1:4">
      <c r="A137" t="s">
        <v>98</v>
      </c>
      <c r="B137">
        <v>0</v>
      </c>
      <c r="C137">
        <v>0</v>
      </c>
      <c r="D137">
        <v>0</v>
      </c>
    </row>
    <row r="138" spans="1:4">
      <c r="A138" t="s">
        <v>94</v>
      </c>
      <c r="B138">
        <v>0</v>
      </c>
      <c r="C138">
        <v>0</v>
      </c>
      <c r="D138">
        <v>0</v>
      </c>
    </row>
    <row r="139" spans="1:4">
      <c r="A139" t="s">
        <v>102</v>
      </c>
      <c r="B139">
        <v>0</v>
      </c>
      <c r="C139">
        <v>0</v>
      </c>
      <c r="D139">
        <v>0</v>
      </c>
    </row>
    <row r="140" spans="1:4">
      <c r="A140" t="s">
        <v>14</v>
      </c>
      <c r="B140">
        <v>0</v>
      </c>
      <c r="C140">
        <v>0</v>
      </c>
      <c r="D140">
        <v>0</v>
      </c>
    </row>
    <row r="141" spans="1:4">
      <c r="A141" t="s">
        <v>106</v>
      </c>
      <c r="B141">
        <v>2</v>
      </c>
      <c r="C141">
        <v>0</v>
      </c>
      <c r="D141">
        <v>0</v>
      </c>
    </row>
    <row r="142" spans="1:4">
      <c r="A142" t="s">
        <v>151</v>
      </c>
      <c r="B142">
        <v>2</v>
      </c>
      <c r="C142">
        <v>0</v>
      </c>
      <c r="D142">
        <v>0</v>
      </c>
    </row>
    <row r="143" spans="1:4">
      <c r="A143" t="s">
        <v>105</v>
      </c>
      <c r="B143">
        <v>1</v>
      </c>
      <c r="C143">
        <v>0</v>
      </c>
      <c r="D143">
        <v>0</v>
      </c>
    </row>
    <row r="144" spans="1:4">
      <c r="A144" t="s">
        <v>204</v>
      </c>
      <c r="B144">
        <v>0</v>
      </c>
      <c r="C144">
        <v>0</v>
      </c>
      <c r="D144">
        <v>0</v>
      </c>
    </row>
    <row r="145" spans="1:4">
      <c r="A145" t="s">
        <v>205</v>
      </c>
      <c r="B145">
        <v>0</v>
      </c>
      <c r="C145">
        <v>0</v>
      </c>
      <c r="D145">
        <v>0</v>
      </c>
    </row>
    <row r="146" spans="1:4">
      <c r="A146" t="s">
        <v>206</v>
      </c>
      <c r="B146">
        <v>0</v>
      </c>
      <c r="C146">
        <v>0</v>
      </c>
      <c r="D146">
        <v>0</v>
      </c>
    </row>
    <row r="147" spans="1:4">
      <c r="A147" t="s">
        <v>207</v>
      </c>
      <c r="B147">
        <v>0</v>
      </c>
      <c r="C147">
        <v>0</v>
      </c>
      <c r="D147">
        <v>0</v>
      </c>
    </row>
    <row r="148" spans="1:4">
      <c r="A148" t="s">
        <v>208</v>
      </c>
      <c r="B148">
        <v>0</v>
      </c>
      <c r="C148">
        <v>0</v>
      </c>
      <c r="D148">
        <v>0</v>
      </c>
    </row>
    <row r="149" spans="1:4">
      <c r="A149" t="s">
        <v>209</v>
      </c>
      <c r="B149">
        <v>0</v>
      </c>
      <c r="C149">
        <v>0</v>
      </c>
      <c r="D149">
        <v>0</v>
      </c>
    </row>
    <row r="150" spans="1:4">
      <c r="A150" t="s">
        <v>210</v>
      </c>
      <c r="B150">
        <v>0</v>
      </c>
      <c r="C150">
        <v>0</v>
      </c>
      <c r="D150">
        <v>0</v>
      </c>
    </row>
    <row r="151" spans="1:4">
      <c r="A151" t="s">
        <v>211</v>
      </c>
      <c r="B151">
        <v>0</v>
      </c>
      <c r="C151">
        <v>0</v>
      </c>
      <c r="D151">
        <v>0</v>
      </c>
    </row>
    <row r="152" spans="1:4">
      <c r="A152" t="s">
        <v>212</v>
      </c>
      <c r="B152">
        <v>0</v>
      </c>
      <c r="C152">
        <v>0</v>
      </c>
      <c r="D152">
        <v>0</v>
      </c>
    </row>
    <row r="153" spans="1:4">
      <c r="A153" t="s">
        <v>213</v>
      </c>
      <c r="B153">
        <v>0</v>
      </c>
      <c r="C153">
        <v>0</v>
      </c>
      <c r="D153">
        <v>0</v>
      </c>
    </row>
    <row r="154" spans="1:4">
      <c r="A154" t="s">
        <v>214</v>
      </c>
      <c r="B154">
        <v>0</v>
      </c>
      <c r="C154">
        <v>0</v>
      </c>
      <c r="D154">
        <v>0</v>
      </c>
    </row>
    <row r="155" spans="1:4">
      <c r="A155" t="s">
        <v>215</v>
      </c>
      <c r="B155">
        <v>0</v>
      </c>
      <c r="C155">
        <v>0</v>
      </c>
      <c r="D155">
        <v>0</v>
      </c>
    </row>
    <row r="156" spans="1:4">
      <c r="A156" t="s">
        <v>216</v>
      </c>
      <c r="B156">
        <v>0</v>
      </c>
      <c r="C156">
        <v>0</v>
      </c>
      <c r="D156">
        <v>0</v>
      </c>
    </row>
    <row r="157" spans="1:4">
      <c r="A157" t="s">
        <v>217</v>
      </c>
      <c r="B157">
        <v>0</v>
      </c>
      <c r="C157">
        <v>0</v>
      </c>
      <c r="D157">
        <v>0</v>
      </c>
    </row>
    <row r="158" spans="1:4">
      <c r="A158" t="s">
        <v>218</v>
      </c>
      <c r="B158">
        <v>0</v>
      </c>
      <c r="C158">
        <v>0</v>
      </c>
      <c r="D158">
        <v>0</v>
      </c>
    </row>
    <row r="159" spans="1:4">
      <c r="A159" t="s">
        <v>219</v>
      </c>
      <c r="B159">
        <v>0</v>
      </c>
      <c r="C159">
        <v>0</v>
      </c>
      <c r="D159">
        <v>0</v>
      </c>
    </row>
    <row r="160" spans="1:4">
      <c r="A160" t="s">
        <v>220</v>
      </c>
      <c r="B160">
        <v>0</v>
      </c>
      <c r="C160">
        <v>0</v>
      </c>
      <c r="D160">
        <v>0</v>
      </c>
    </row>
    <row r="161" spans="1:4">
      <c r="A161" t="s">
        <v>221</v>
      </c>
      <c r="B161">
        <v>0</v>
      </c>
      <c r="C161">
        <v>0</v>
      </c>
      <c r="D161">
        <v>0</v>
      </c>
    </row>
    <row r="162" spans="1:4">
      <c r="A162" t="s">
        <v>222</v>
      </c>
      <c r="B162">
        <v>0</v>
      </c>
      <c r="C162">
        <v>0</v>
      </c>
      <c r="D162">
        <v>0</v>
      </c>
    </row>
    <row r="163" spans="1:4">
      <c r="A163" t="s">
        <v>223</v>
      </c>
      <c r="B163">
        <v>0</v>
      </c>
      <c r="C163">
        <v>0</v>
      </c>
      <c r="D163">
        <v>0</v>
      </c>
    </row>
    <row r="164" spans="1:4">
      <c r="A164" t="s">
        <v>224</v>
      </c>
      <c r="B164">
        <v>0</v>
      </c>
      <c r="C164">
        <v>0</v>
      </c>
      <c r="D164">
        <v>0</v>
      </c>
    </row>
    <row r="165" spans="1:4">
      <c r="A165" t="s">
        <v>225</v>
      </c>
      <c r="B165">
        <v>0</v>
      </c>
      <c r="C165">
        <v>0</v>
      </c>
      <c r="D165">
        <v>0</v>
      </c>
    </row>
    <row r="166" spans="1:4">
      <c r="A166" t="s">
        <v>226</v>
      </c>
      <c r="B166">
        <v>0</v>
      </c>
      <c r="C166">
        <v>0</v>
      </c>
      <c r="D166">
        <v>0</v>
      </c>
    </row>
    <row r="167" spans="1:4">
      <c r="A167" t="s">
        <v>227</v>
      </c>
      <c r="B167">
        <v>0</v>
      </c>
      <c r="C167">
        <v>0</v>
      </c>
      <c r="D167">
        <v>0</v>
      </c>
    </row>
    <row r="168" spans="1:4">
      <c r="A168" t="s">
        <v>228</v>
      </c>
      <c r="B168">
        <v>0</v>
      </c>
      <c r="C168">
        <v>0</v>
      </c>
      <c r="D168">
        <v>0</v>
      </c>
    </row>
    <row r="169" spans="1:4">
      <c r="A169" t="s">
        <v>104</v>
      </c>
      <c r="B169">
        <v>0</v>
      </c>
      <c r="C169">
        <v>1</v>
      </c>
      <c r="D169">
        <v>0</v>
      </c>
    </row>
    <row r="170" spans="1:4">
      <c r="A170" t="s">
        <v>229</v>
      </c>
      <c r="B170">
        <v>0</v>
      </c>
      <c r="C170">
        <v>0</v>
      </c>
      <c r="D170">
        <v>0</v>
      </c>
    </row>
    <row r="171" spans="1:4">
      <c r="A171" t="s">
        <v>230</v>
      </c>
      <c r="B171">
        <v>0</v>
      </c>
      <c r="C171">
        <v>0</v>
      </c>
      <c r="D171">
        <v>0</v>
      </c>
    </row>
    <row r="172" spans="1:4">
      <c r="A172" t="s">
        <v>231</v>
      </c>
      <c r="B172">
        <v>0</v>
      </c>
      <c r="C172">
        <v>0</v>
      </c>
      <c r="D172">
        <v>0</v>
      </c>
    </row>
    <row r="173" spans="1:4">
      <c r="A173" t="s">
        <v>232</v>
      </c>
      <c r="B173">
        <v>0</v>
      </c>
      <c r="C173">
        <v>0</v>
      </c>
      <c r="D173">
        <v>0</v>
      </c>
    </row>
    <row r="174" spans="1:4">
      <c r="A174" t="s">
        <v>233</v>
      </c>
      <c r="B174">
        <v>0</v>
      </c>
      <c r="C174">
        <v>0</v>
      </c>
      <c r="D174">
        <v>0</v>
      </c>
    </row>
    <row r="175" spans="1:4">
      <c r="A175" t="s">
        <v>234</v>
      </c>
      <c r="B175">
        <v>0</v>
      </c>
      <c r="C175">
        <v>0</v>
      </c>
      <c r="D175">
        <v>1</v>
      </c>
    </row>
    <row r="176" spans="1:4">
      <c r="A176" t="s">
        <v>101</v>
      </c>
      <c r="B176">
        <v>0</v>
      </c>
      <c r="C176">
        <v>0</v>
      </c>
      <c r="D176">
        <v>1</v>
      </c>
    </row>
    <row r="177" spans="1:4">
      <c r="A177" t="s">
        <v>96</v>
      </c>
      <c r="B177">
        <v>0</v>
      </c>
      <c r="C177">
        <v>0</v>
      </c>
      <c r="D177">
        <v>1</v>
      </c>
    </row>
    <row r="178" spans="1:4">
      <c r="A178" t="s">
        <v>235</v>
      </c>
      <c r="B178">
        <v>0</v>
      </c>
      <c r="C178">
        <v>0</v>
      </c>
      <c r="D178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2"/>
  <sheetViews>
    <sheetView workbookViewId="0">
      <selection activeCell="L17" sqref="L17"/>
    </sheetView>
  </sheetViews>
  <sheetFormatPr defaultRowHeight="14.4"/>
  <cols>
    <col min="1" max="1" width="12.109375" customWidth="1"/>
    <col min="2" max="2" width="19.44140625" customWidth="1"/>
    <col min="3" max="3" width="16.44140625" customWidth="1"/>
  </cols>
  <sheetData>
    <row r="1" spans="1:3">
      <c r="A1" s="1" t="s">
        <v>0</v>
      </c>
      <c r="B1" s="1" t="s">
        <v>236</v>
      </c>
      <c r="C1" s="1" t="s">
        <v>237</v>
      </c>
    </row>
    <row r="2" spans="1:3">
      <c r="A2" t="s">
        <v>14</v>
      </c>
      <c r="B2">
        <v>4.5</v>
      </c>
      <c r="C2">
        <v>0</v>
      </c>
    </row>
    <row r="3" spans="1:3">
      <c r="A3" t="s">
        <v>15</v>
      </c>
      <c r="B3">
        <v>1</v>
      </c>
      <c r="C3">
        <v>0</v>
      </c>
    </row>
    <row r="4" spans="1:3">
      <c r="A4" t="s">
        <v>300</v>
      </c>
      <c r="B4">
        <v>1</v>
      </c>
      <c r="C4">
        <v>0</v>
      </c>
    </row>
    <row r="5" spans="1:3">
      <c r="A5" t="s">
        <v>197</v>
      </c>
      <c r="B5">
        <v>2</v>
      </c>
      <c r="C5">
        <v>0</v>
      </c>
    </row>
    <row r="6" spans="1:3">
      <c r="A6" t="s">
        <v>207</v>
      </c>
      <c r="B6">
        <v>0.5</v>
      </c>
      <c r="C6">
        <v>0</v>
      </c>
    </row>
    <row r="7" spans="1:3">
      <c r="A7" t="s">
        <v>218</v>
      </c>
      <c r="B7">
        <v>0.5</v>
      </c>
      <c r="C7">
        <v>0</v>
      </c>
    </row>
    <row r="8" spans="1:3">
      <c r="A8" t="s">
        <v>268</v>
      </c>
      <c r="B8">
        <v>1</v>
      </c>
      <c r="C8">
        <v>0</v>
      </c>
    </row>
    <row r="9" spans="1:3">
      <c r="A9" t="s">
        <v>208</v>
      </c>
      <c r="B9">
        <v>1</v>
      </c>
      <c r="C9">
        <v>0</v>
      </c>
    </row>
    <row r="10" spans="1:3">
      <c r="A10" t="s">
        <v>210</v>
      </c>
      <c r="B10">
        <v>1</v>
      </c>
      <c r="C10">
        <v>0</v>
      </c>
    </row>
    <row r="11" spans="1:3">
      <c r="A11" t="s">
        <v>258</v>
      </c>
      <c r="B11">
        <v>0.5</v>
      </c>
      <c r="C11">
        <v>0</v>
      </c>
    </row>
    <row r="12" spans="1:3">
      <c r="A12" t="s">
        <v>200</v>
      </c>
      <c r="B12">
        <v>5</v>
      </c>
      <c r="C12">
        <v>0</v>
      </c>
    </row>
    <row r="13" spans="1:3">
      <c r="A13" t="s">
        <v>201</v>
      </c>
      <c r="B13">
        <v>2</v>
      </c>
      <c r="C13">
        <v>0</v>
      </c>
    </row>
    <row r="14" spans="1:3">
      <c r="A14" t="s">
        <v>16</v>
      </c>
      <c r="B14">
        <v>2</v>
      </c>
      <c r="C14">
        <v>0</v>
      </c>
    </row>
    <row r="15" spans="1:3">
      <c r="A15" t="s">
        <v>17</v>
      </c>
      <c r="B15">
        <v>2</v>
      </c>
      <c r="C15">
        <v>0</v>
      </c>
    </row>
    <row r="16" spans="1:3">
      <c r="A16" t="s">
        <v>270</v>
      </c>
      <c r="B16">
        <v>3</v>
      </c>
      <c r="C16">
        <v>0</v>
      </c>
    </row>
    <row r="17" spans="1:3">
      <c r="A17" t="s">
        <v>117</v>
      </c>
      <c r="B17">
        <v>1</v>
      </c>
      <c r="C17">
        <v>0</v>
      </c>
    </row>
    <row r="18" spans="1:3">
      <c r="A18" t="s">
        <v>22</v>
      </c>
      <c r="B18">
        <v>2</v>
      </c>
      <c r="C18">
        <v>0</v>
      </c>
    </row>
    <row r="19" spans="1:3">
      <c r="A19" t="s">
        <v>24</v>
      </c>
      <c r="B19">
        <v>2</v>
      </c>
      <c r="C19">
        <v>0</v>
      </c>
    </row>
    <row r="20" spans="1:3">
      <c r="A20" t="s">
        <v>25</v>
      </c>
      <c r="B20">
        <v>1.5</v>
      </c>
      <c r="C20">
        <v>0</v>
      </c>
    </row>
    <row r="21" spans="1:3">
      <c r="A21" t="s">
        <v>118</v>
      </c>
      <c r="B21">
        <v>0.5</v>
      </c>
      <c r="C21">
        <v>0</v>
      </c>
    </row>
    <row r="22" spans="1:3">
      <c r="A22" t="s">
        <v>29</v>
      </c>
      <c r="B22">
        <v>2</v>
      </c>
      <c r="C22">
        <v>0</v>
      </c>
    </row>
    <row r="23" spans="1:3">
      <c r="A23" t="s">
        <v>30</v>
      </c>
      <c r="B23">
        <v>1</v>
      </c>
      <c r="C23">
        <v>0</v>
      </c>
    </row>
    <row r="24" spans="1:3">
      <c r="A24" t="s">
        <v>31</v>
      </c>
      <c r="B24">
        <v>1</v>
      </c>
      <c r="C24">
        <v>0</v>
      </c>
    </row>
    <row r="25" spans="1:3">
      <c r="A25" t="s">
        <v>33</v>
      </c>
      <c r="B25">
        <v>1</v>
      </c>
      <c r="C25">
        <v>0</v>
      </c>
    </row>
    <row r="26" spans="1:3">
      <c r="A26" t="s">
        <v>119</v>
      </c>
      <c r="B26">
        <v>1</v>
      </c>
      <c r="C26">
        <v>0</v>
      </c>
    </row>
    <row r="27" spans="1:3">
      <c r="A27" t="s">
        <v>34</v>
      </c>
      <c r="B27">
        <v>1</v>
      </c>
      <c r="C27">
        <v>0</v>
      </c>
    </row>
    <row r="28" spans="1:3">
      <c r="A28" t="s">
        <v>35</v>
      </c>
      <c r="B28">
        <v>0.5</v>
      </c>
      <c r="C28">
        <v>0</v>
      </c>
    </row>
    <row r="29" spans="1:3">
      <c r="A29" t="s">
        <v>36</v>
      </c>
      <c r="B29">
        <v>2</v>
      </c>
      <c r="C29">
        <v>0</v>
      </c>
    </row>
    <row r="30" spans="1:3">
      <c r="A30" t="s">
        <v>39</v>
      </c>
      <c r="B30">
        <v>1.5</v>
      </c>
      <c r="C30">
        <v>0</v>
      </c>
    </row>
    <row r="31" spans="1:3">
      <c r="A31" t="s">
        <v>40</v>
      </c>
      <c r="B31">
        <v>4</v>
      </c>
      <c r="C31">
        <v>0</v>
      </c>
    </row>
    <row r="32" spans="1:3">
      <c r="A32" t="s">
        <v>41</v>
      </c>
      <c r="B32">
        <v>2</v>
      </c>
      <c r="C32">
        <v>0</v>
      </c>
    </row>
    <row r="33" spans="1:3">
      <c r="A33" t="s">
        <v>42</v>
      </c>
      <c r="B33">
        <v>2.5</v>
      </c>
      <c r="C33">
        <v>0</v>
      </c>
    </row>
    <row r="34" spans="1:3">
      <c r="A34" t="s">
        <v>43</v>
      </c>
      <c r="B34">
        <v>1.5</v>
      </c>
      <c r="C34">
        <v>0</v>
      </c>
    </row>
    <row r="35" spans="1:3">
      <c r="A35" t="s">
        <v>44</v>
      </c>
      <c r="B35">
        <v>2</v>
      </c>
      <c r="C35">
        <v>0</v>
      </c>
    </row>
    <row r="36" spans="1:3">
      <c r="A36" t="s">
        <v>46</v>
      </c>
      <c r="B36">
        <v>3</v>
      </c>
      <c r="C36">
        <v>0</v>
      </c>
    </row>
    <row r="37" spans="1:3">
      <c r="A37" t="s">
        <v>47</v>
      </c>
      <c r="B37">
        <v>1</v>
      </c>
      <c r="C37">
        <v>0</v>
      </c>
    </row>
    <row r="38" spans="1:3">
      <c r="A38" t="s">
        <v>49</v>
      </c>
      <c r="B38">
        <v>1</v>
      </c>
      <c r="C38">
        <v>0</v>
      </c>
    </row>
    <row r="39" spans="1:3">
      <c r="A39" t="s">
        <v>50</v>
      </c>
      <c r="B39">
        <v>0.5</v>
      </c>
      <c r="C39">
        <v>0</v>
      </c>
    </row>
    <row r="40" spans="1:3">
      <c r="A40" t="s">
        <v>51</v>
      </c>
      <c r="B40">
        <v>2</v>
      </c>
      <c r="C40">
        <v>0</v>
      </c>
    </row>
    <row r="41" spans="1:3">
      <c r="A41" t="s">
        <v>54</v>
      </c>
      <c r="B41">
        <v>4</v>
      </c>
      <c r="C41">
        <v>0</v>
      </c>
    </row>
    <row r="42" spans="1:3">
      <c r="A42" t="s">
        <v>55</v>
      </c>
      <c r="B42">
        <v>2</v>
      </c>
      <c r="C42">
        <v>0</v>
      </c>
    </row>
    <row r="43" spans="1:3">
      <c r="A43" t="s">
        <v>120</v>
      </c>
      <c r="B43">
        <v>1</v>
      </c>
      <c r="C43">
        <v>0</v>
      </c>
    </row>
    <row r="44" spans="1:3">
      <c r="A44" t="s">
        <v>56</v>
      </c>
      <c r="B44">
        <v>0.5</v>
      </c>
      <c r="C44">
        <v>0</v>
      </c>
    </row>
    <row r="45" spans="1:3">
      <c r="A45" t="s">
        <v>57</v>
      </c>
      <c r="B45">
        <v>1.5</v>
      </c>
      <c r="C45">
        <v>0</v>
      </c>
    </row>
    <row r="46" spans="1:3">
      <c r="A46" t="s">
        <v>59</v>
      </c>
      <c r="B46">
        <v>1.5</v>
      </c>
      <c r="C46">
        <v>0</v>
      </c>
    </row>
    <row r="47" spans="1:3">
      <c r="A47" t="s">
        <v>123</v>
      </c>
      <c r="B47">
        <v>1.5</v>
      </c>
      <c r="C47">
        <v>0</v>
      </c>
    </row>
    <row r="48" spans="1:3">
      <c r="A48" t="s">
        <v>124</v>
      </c>
      <c r="B48">
        <v>2</v>
      </c>
      <c r="C48">
        <v>0</v>
      </c>
    </row>
    <row r="49" spans="1:3">
      <c r="A49" t="s">
        <v>125</v>
      </c>
      <c r="B49">
        <v>1</v>
      </c>
      <c r="C49">
        <v>0</v>
      </c>
    </row>
    <row r="50" spans="1:3">
      <c r="A50" t="s">
        <v>127</v>
      </c>
      <c r="B50">
        <v>0.5</v>
      </c>
      <c r="C50">
        <v>0</v>
      </c>
    </row>
    <row r="51" spans="1:3">
      <c r="A51" t="s">
        <v>62</v>
      </c>
      <c r="B51">
        <v>6</v>
      </c>
      <c r="C51">
        <v>0</v>
      </c>
    </row>
    <row r="52" spans="1:3">
      <c r="A52" t="s">
        <v>63</v>
      </c>
      <c r="B52">
        <v>1.5</v>
      </c>
      <c r="C52">
        <v>0</v>
      </c>
    </row>
    <row r="53" spans="1:3">
      <c r="A53" t="s">
        <v>283</v>
      </c>
      <c r="B53">
        <v>2</v>
      </c>
      <c r="C53">
        <v>0</v>
      </c>
    </row>
    <row r="54" spans="1:3">
      <c r="A54" t="s">
        <v>130</v>
      </c>
      <c r="B54">
        <v>0.5</v>
      </c>
      <c r="C54">
        <v>0</v>
      </c>
    </row>
    <row r="55" spans="1:3">
      <c r="A55" t="s">
        <v>131</v>
      </c>
      <c r="B55">
        <v>1.5</v>
      </c>
      <c r="C55">
        <v>0</v>
      </c>
    </row>
    <row r="56" spans="1:3">
      <c r="A56" t="s">
        <v>135</v>
      </c>
      <c r="B56">
        <v>1</v>
      </c>
      <c r="C56">
        <v>0</v>
      </c>
    </row>
    <row r="57" spans="1:3">
      <c r="A57" t="s">
        <v>255</v>
      </c>
      <c r="B57">
        <v>1</v>
      </c>
      <c r="C57">
        <v>0</v>
      </c>
    </row>
    <row r="58" spans="1:3">
      <c r="A58" t="s">
        <v>265</v>
      </c>
      <c r="B58">
        <v>1</v>
      </c>
      <c r="C58">
        <v>0</v>
      </c>
    </row>
    <row r="59" spans="1:3">
      <c r="A59" t="s">
        <v>266</v>
      </c>
      <c r="B59">
        <v>1</v>
      </c>
      <c r="C59">
        <v>0</v>
      </c>
    </row>
    <row r="60" spans="1:3">
      <c r="A60" t="s">
        <v>138</v>
      </c>
      <c r="B60">
        <v>3</v>
      </c>
      <c r="C60">
        <v>0</v>
      </c>
    </row>
    <row r="61" spans="1:3">
      <c r="A61" t="s">
        <v>139</v>
      </c>
      <c r="B61">
        <v>0.5</v>
      </c>
      <c r="C61">
        <v>0</v>
      </c>
    </row>
    <row r="62" spans="1:3">
      <c r="A62" t="s">
        <v>66</v>
      </c>
      <c r="B62">
        <v>1</v>
      </c>
      <c r="C62">
        <v>0</v>
      </c>
    </row>
    <row r="63" spans="1:3">
      <c r="A63" t="s">
        <v>244</v>
      </c>
      <c r="B63">
        <v>1</v>
      </c>
      <c r="C63">
        <v>0</v>
      </c>
    </row>
    <row r="64" spans="1:3">
      <c r="A64" t="s">
        <v>243</v>
      </c>
      <c r="B64">
        <v>1</v>
      </c>
      <c r="C64">
        <v>0</v>
      </c>
    </row>
    <row r="65" spans="1:3">
      <c r="A65" t="s">
        <v>189</v>
      </c>
      <c r="B65">
        <v>20</v>
      </c>
      <c r="C65">
        <v>0</v>
      </c>
    </row>
    <row r="66" spans="1:3">
      <c r="A66" t="s">
        <v>69</v>
      </c>
      <c r="B66">
        <v>1</v>
      </c>
      <c r="C66">
        <v>0</v>
      </c>
    </row>
    <row r="67" spans="1:3">
      <c r="A67" t="s">
        <v>70</v>
      </c>
      <c r="B67">
        <v>1.5</v>
      </c>
      <c r="C67">
        <v>0</v>
      </c>
    </row>
    <row r="68" spans="1:3">
      <c r="A68" t="s">
        <v>141</v>
      </c>
      <c r="B68">
        <v>1</v>
      </c>
      <c r="C68">
        <v>0</v>
      </c>
    </row>
    <row r="69" spans="1:3">
      <c r="A69" t="s">
        <v>72</v>
      </c>
      <c r="B69">
        <v>5</v>
      </c>
      <c r="C69">
        <v>0</v>
      </c>
    </row>
    <row r="70" spans="1:3">
      <c r="A70" t="s">
        <v>142</v>
      </c>
      <c r="B70">
        <v>1</v>
      </c>
      <c r="C70">
        <v>0</v>
      </c>
    </row>
    <row r="71" spans="1:3">
      <c r="A71" t="s">
        <v>73</v>
      </c>
      <c r="B71">
        <v>1</v>
      </c>
      <c r="C71">
        <v>0</v>
      </c>
    </row>
    <row r="72" spans="1:3">
      <c r="A72" t="s">
        <v>74</v>
      </c>
      <c r="B72">
        <v>2</v>
      </c>
      <c r="C72">
        <v>0</v>
      </c>
    </row>
    <row r="73" spans="1:3">
      <c r="A73" t="s">
        <v>75</v>
      </c>
      <c r="B73">
        <v>2</v>
      </c>
      <c r="C73">
        <v>0</v>
      </c>
    </row>
    <row r="74" spans="1:3">
      <c r="A74" t="s">
        <v>77</v>
      </c>
      <c r="B74">
        <v>2</v>
      </c>
      <c r="C74">
        <v>0</v>
      </c>
    </row>
    <row r="75" spans="1:3">
      <c r="A75" t="s">
        <v>78</v>
      </c>
      <c r="B75">
        <v>0.5</v>
      </c>
      <c r="C75">
        <v>0</v>
      </c>
    </row>
    <row r="76" spans="1:3">
      <c r="A76" t="s">
        <v>79</v>
      </c>
      <c r="B76">
        <v>3</v>
      </c>
      <c r="C76">
        <v>0</v>
      </c>
    </row>
    <row r="77" spans="1:3">
      <c r="A77" t="s">
        <v>263</v>
      </c>
      <c r="B77">
        <v>2</v>
      </c>
      <c r="C77">
        <v>0</v>
      </c>
    </row>
    <row r="78" spans="1:3">
      <c r="A78" t="s">
        <v>239</v>
      </c>
      <c r="B78">
        <v>1</v>
      </c>
      <c r="C78">
        <v>0</v>
      </c>
    </row>
    <row r="79" spans="1:3">
      <c r="A79" t="s">
        <v>81</v>
      </c>
      <c r="B79">
        <v>1</v>
      </c>
      <c r="C79">
        <v>0</v>
      </c>
    </row>
    <row r="80" spans="1:3">
      <c r="A80" t="s">
        <v>82</v>
      </c>
      <c r="B80">
        <v>1</v>
      </c>
      <c r="C80">
        <v>0</v>
      </c>
    </row>
    <row r="81" spans="1:3">
      <c r="A81" t="s">
        <v>83</v>
      </c>
      <c r="B81">
        <v>0.5</v>
      </c>
      <c r="C81">
        <v>0</v>
      </c>
    </row>
    <row r="82" spans="1:3">
      <c r="A82" t="s">
        <v>84</v>
      </c>
      <c r="B82">
        <v>2</v>
      </c>
      <c r="C82">
        <v>0</v>
      </c>
    </row>
    <row r="83" spans="1:3">
      <c r="A83" t="s">
        <v>85</v>
      </c>
      <c r="B83">
        <v>1</v>
      </c>
      <c r="C83">
        <v>0</v>
      </c>
    </row>
    <row r="84" spans="1:3">
      <c r="A84" t="s">
        <v>144</v>
      </c>
      <c r="B84">
        <v>1</v>
      </c>
      <c r="C84">
        <v>0</v>
      </c>
    </row>
    <row r="85" spans="1:3">
      <c r="A85" t="s">
        <v>145</v>
      </c>
      <c r="B85">
        <v>5</v>
      </c>
      <c r="C85">
        <v>0</v>
      </c>
    </row>
    <row r="86" spans="1:3">
      <c r="A86" t="s">
        <v>146</v>
      </c>
      <c r="B86">
        <v>1</v>
      </c>
      <c r="C86">
        <v>0</v>
      </c>
    </row>
    <row r="87" spans="1:3">
      <c r="A87" t="s">
        <v>88</v>
      </c>
      <c r="B87">
        <v>0.5</v>
      </c>
      <c r="C87">
        <v>0</v>
      </c>
    </row>
    <row r="88" spans="1:3">
      <c r="A88" t="s">
        <v>89</v>
      </c>
      <c r="B88">
        <v>1</v>
      </c>
      <c r="C88">
        <v>0</v>
      </c>
    </row>
    <row r="89" spans="1:3">
      <c r="A89" t="s">
        <v>92</v>
      </c>
      <c r="B89">
        <v>1</v>
      </c>
      <c r="C89">
        <v>0</v>
      </c>
    </row>
    <row r="90" spans="1:3">
      <c r="A90" t="s">
        <v>93</v>
      </c>
      <c r="B90">
        <v>1</v>
      </c>
      <c r="C90">
        <v>0</v>
      </c>
    </row>
    <row r="91" spans="1:3">
      <c r="A91" t="s">
        <v>94</v>
      </c>
      <c r="B91">
        <v>3</v>
      </c>
      <c r="C91">
        <v>0</v>
      </c>
    </row>
    <row r="92" spans="1:3">
      <c r="A92" t="s">
        <v>95</v>
      </c>
      <c r="B92">
        <v>1</v>
      </c>
      <c r="C92">
        <v>0</v>
      </c>
    </row>
    <row r="93" spans="1:3">
      <c r="A93" t="s">
        <v>147</v>
      </c>
      <c r="B93">
        <v>2</v>
      </c>
      <c r="C93">
        <v>0</v>
      </c>
    </row>
    <row r="94" spans="1:3">
      <c r="A94" t="s">
        <v>97</v>
      </c>
      <c r="B94">
        <v>1</v>
      </c>
      <c r="C94">
        <v>0</v>
      </c>
    </row>
    <row r="95" spans="1:3">
      <c r="A95" t="s">
        <v>98</v>
      </c>
      <c r="B95">
        <v>1</v>
      </c>
      <c r="C95">
        <v>0</v>
      </c>
    </row>
    <row r="96" spans="1:3">
      <c r="A96" t="s">
        <v>99</v>
      </c>
      <c r="B96">
        <v>1</v>
      </c>
      <c r="C96">
        <v>0</v>
      </c>
    </row>
    <row r="97" spans="1:3">
      <c r="A97" t="s">
        <v>100</v>
      </c>
      <c r="B97">
        <v>1</v>
      </c>
      <c r="C97">
        <v>0</v>
      </c>
    </row>
    <row r="98" spans="1:3">
      <c r="A98" t="s">
        <v>102</v>
      </c>
      <c r="B98">
        <v>3</v>
      </c>
      <c r="C98">
        <v>0</v>
      </c>
    </row>
    <row r="99" spans="1:3">
      <c r="A99" t="s">
        <v>103</v>
      </c>
      <c r="B99">
        <v>2</v>
      </c>
      <c r="C99">
        <v>0</v>
      </c>
    </row>
    <row r="100" spans="1:3">
      <c r="A100" t="s">
        <v>317</v>
      </c>
      <c r="B100">
        <v>1</v>
      </c>
      <c r="C100">
        <v>0</v>
      </c>
    </row>
    <row r="101" spans="1:3">
      <c r="A101" t="s">
        <v>296</v>
      </c>
      <c r="B101">
        <v>2</v>
      </c>
      <c r="C101">
        <v>0</v>
      </c>
    </row>
    <row r="102" spans="1:3">
      <c r="A102" t="s">
        <v>311</v>
      </c>
      <c r="B102">
        <v>2</v>
      </c>
      <c r="C102">
        <v>0</v>
      </c>
    </row>
    <row r="103" spans="1:3">
      <c r="A103" t="s">
        <v>219</v>
      </c>
      <c r="B103">
        <v>5</v>
      </c>
      <c r="C103">
        <v>0</v>
      </c>
    </row>
    <row r="104" spans="1:3">
      <c r="A104" t="s">
        <v>233</v>
      </c>
      <c r="B104">
        <v>1</v>
      </c>
      <c r="C104">
        <v>0</v>
      </c>
    </row>
    <row r="105" spans="1:3">
      <c r="A105" t="s">
        <v>277</v>
      </c>
      <c r="B105">
        <v>1</v>
      </c>
      <c r="C105">
        <v>0</v>
      </c>
    </row>
    <row r="106" spans="1:3">
      <c r="A106" t="s">
        <v>313</v>
      </c>
      <c r="B106">
        <v>1</v>
      </c>
      <c r="C106">
        <v>0</v>
      </c>
    </row>
    <row r="107" spans="1:3">
      <c r="A107" t="s">
        <v>284</v>
      </c>
      <c r="B107">
        <v>1</v>
      </c>
      <c r="C107">
        <v>0</v>
      </c>
    </row>
    <row r="108" spans="1:3">
      <c r="A108" t="s">
        <v>264</v>
      </c>
      <c r="B108">
        <v>3</v>
      </c>
      <c r="C108">
        <v>0</v>
      </c>
    </row>
    <row r="109" spans="1:3">
      <c r="A109" t="s">
        <v>107</v>
      </c>
      <c r="B109">
        <v>3</v>
      </c>
      <c r="C109">
        <v>0</v>
      </c>
    </row>
    <row r="110" spans="1:3">
      <c r="A110" t="s">
        <v>261</v>
      </c>
      <c r="B110">
        <v>0.5</v>
      </c>
      <c r="C110">
        <v>0</v>
      </c>
    </row>
    <row r="111" spans="1:3">
      <c r="A111" t="s">
        <v>260</v>
      </c>
      <c r="B111">
        <v>1</v>
      </c>
      <c r="C111">
        <v>0</v>
      </c>
    </row>
    <row r="112" spans="1:3">
      <c r="A112" t="s">
        <v>292</v>
      </c>
      <c r="B112">
        <v>2</v>
      </c>
      <c r="C112">
        <v>0</v>
      </c>
    </row>
    <row r="113" spans="1:3">
      <c r="A113" t="s">
        <v>254</v>
      </c>
      <c r="B113">
        <v>1</v>
      </c>
      <c r="C113">
        <v>0</v>
      </c>
    </row>
    <row r="114" spans="1:3">
      <c r="A114" t="s">
        <v>257</v>
      </c>
      <c r="B114">
        <v>3</v>
      </c>
      <c r="C114">
        <v>0</v>
      </c>
    </row>
    <row r="115" spans="1:3">
      <c r="A115" t="s">
        <v>273</v>
      </c>
      <c r="B115">
        <v>1</v>
      </c>
      <c r="C115">
        <v>0</v>
      </c>
    </row>
    <row r="116" spans="1:3">
      <c r="A116" t="s">
        <v>312</v>
      </c>
      <c r="B116">
        <v>1</v>
      </c>
      <c r="C116">
        <v>0</v>
      </c>
    </row>
    <row r="117" spans="1:3">
      <c r="A117" t="s">
        <v>108</v>
      </c>
      <c r="B117">
        <v>1</v>
      </c>
      <c r="C117">
        <v>0</v>
      </c>
    </row>
    <row r="118" spans="1:3">
      <c r="A118" t="s">
        <v>308</v>
      </c>
      <c r="B118">
        <v>2</v>
      </c>
      <c r="C118">
        <v>0</v>
      </c>
    </row>
    <row r="119" spans="1:3">
      <c r="A119" t="s">
        <v>148</v>
      </c>
      <c r="B119">
        <v>1</v>
      </c>
      <c r="C119">
        <v>0</v>
      </c>
    </row>
    <row r="120" spans="1:3">
      <c r="A120" t="s">
        <v>304</v>
      </c>
      <c r="B120">
        <v>1</v>
      </c>
      <c r="C120">
        <v>0</v>
      </c>
    </row>
    <row r="121" spans="1:3">
      <c r="A121" t="s">
        <v>294</v>
      </c>
      <c r="B121">
        <v>1.5</v>
      </c>
      <c r="C121">
        <v>0</v>
      </c>
    </row>
    <row r="122" spans="1:3">
      <c r="A122" t="s">
        <v>109</v>
      </c>
      <c r="B122">
        <v>1</v>
      </c>
      <c r="C122">
        <v>0</v>
      </c>
    </row>
    <row r="123" spans="1:3">
      <c r="A123" t="s">
        <v>110</v>
      </c>
      <c r="B123">
        <v>1</v>
      </c>
      <c r="C123">
        <v>0</v>
      </c>
    </row>
    <row r="124" spans="1:3">
      <c r="A124" t="s">
        <v>299</v>
      </c>
      <c r="B124">
        <v>2</v>
      </c>
      <c r="C124">
        <v>0</v>
      </c>
    </row>
    <row r="125" spans="1:3">
      <c r="A125" t="s">
        <v>316</v>
      </c>
      <c r="B125">
        <v>2</v>
      </c>
      <c r="C125">
        <v>0</v>
      </c>
    </row>
    <row r="126" spans="1:3">
      <c r="A126" t="s">
        <v>282</v>
      </c>
      <c r="B126">
        <v>1.5</v>
      </c>
      <c r="C126">
        <v>0</v>
      </c>
    </row>
    <row r="127" spans="1:3">
      <c r="A127" t="s">
        <v>229</v>
      </c>
      <c r="B127">
        <v>3</v>
      </c>
      <c r="C127">
        <v>0</v>
      </c>
    </row>
    <row r="128" spans="1:3">
      <c r="A128" t="s">
        <v>234</v>
      </c>
      <c r="B128">
        <v>2</v>
      </c>
      <c r="C128">
        <v>0</v>
      </c>
    </row>
    <row r="129" spans="1:3">
      <c r="A129" t="s">
        <v>214</v>
      </c>
      <c r="B129">
        <v>1.5</v>
      </c>
      <c r="C129">
        <v>0</v>
      </c>
    </row>
    <row r="130" spans="1:3">
      <c r="A130" t="s">
        <v>298</v>
      </c>
      <c r="B130">
        <v>1</v>
      </c>
      <c r="C130">
        <v>0</v>
      </c>
    </row>
    <row r="131" spans="1:3">
      <c r="A131" t="s">
        <v>209</v>
      </c>
      <c r="B131">
        <v>1.5</v>
      </c>
      <c r="C131">
        <v>0</v>
      </c>
    </row>
    <row r="132" spans="1:3">
      <c r="A132" t="s">
        <v>278</v>
      </c>
      <c r="B132">
        <v>1</v>
      </c>
      <c r="C132">
        <v>0</v>
      </c>
    </row>
    <row r="133" spans="1:3">
      <c r="A133" t="s">
        <v>275</v>
      </c>
      <c r="B133">
        <v>1</v>
      </c>
      <c r="C133">
        <v>0</v>
      </c>
    </row>
    <row r="134" spans="1:3">
      <c r="A134" t="s">
        <v>310</v>
      </c>
      <c r="B134">
        <v>2</v>
      </c>
      <c r="C134">
        <v>0</v>
      </c>
    </row>
    <row r="135" spans="1:3">
      <c r="A135" t="s">
        <v>241</v>
      </c>
      <c r="B135">
        <v>2</v>
      </c>
      <c r="C135">
        <v>0</v>
      </c>
    </row>
    <row r="136" spans="1:3">
      <c r="A136" t="s">
        <v>112</v>
      </c>
      <c r="B136">
        <v>3</v>
      </c>
      <c r="C136">
        <v>0</v>
      </c>
    </row>
    <row r="137" spans="1:3">
      <c r="A137" t="s">
        <v>240</v>
      </c>
      <c r="B137">
        <v>1.5</v>
      </c>
      <c r="C137">
        <v>0</v>
      </c>
    </row>
    <row r="138" spans="1:3">
      <c r="A138" t="s">
        <v>246</v>
      </c>
      <c r="B138">
        <v>1</v>
      </c>
      <c r="C138">
        <v>0</v>
      </c>
    </row>
    <row r="139" spans="1:3">
      <c r="A139" t="s">
        <v>314</v>
      </c>
      <c r="B139">
        <v>1</v>
      </c>
      <c r="C139">
        <v>0</v>
      </c>
    </row>
    <row r="140" spans="1:3">
      <c r="A140" t="s">
        <v>212</v>
      </c>
      <c r="B140">
        <v>1</v>
      </c>
      <c r="C140">
        <v>0</v>
      </c>
    </row>
    <row r="141" spans="1:3">
      <c r="A141" t="s">
        <v>285</v>
      </c>
      <c r="B141">
        <v>2</v>
      </c>
      <c r="C141">
        <v>0</v>
      </c>
    </row>
    <row r="142" spans="1:3">
      <c r="A142" t="s">
        <v>262</v>
      </c>
      <c r="B142">
        <v>3</v>
      </c>
      <c r="C142">
        <v>0</v>
      </c>
    </row>
    <row r="143" spans="1:3">
      <c r="A143" t="s">
        <v>293</v>
      </c>
      <c r="B143">
        <v>2</v>
      </c>
      <c r="C143">
        <v>0</v>
      </c>
    </row>
    <row r="144" spans="1:3">
      <c r="A144" t="s">
        <v>267</v>
      </c>
      <c r="B144">
        <v>1</v>
      </c>
      <c r="C144">
        <v>0</v>
      </c>
    </row>
    <row r="145" spans="1:3">
      <c r="A145" t="s">
        <v>303</v>
      </c>
      <c r="B145">
        <v>1</v>
      </c>
      <c r="C145">
        <v>0</v>
      </c>
    </row>
    <row r="146" spans="1:3">
      <c r="A146" t="s">
        <v>223</v>
      </c>
      <c r="B146">
        <v>0.5</v>
      </c>
      <c r="C146">
        <v>0</v>
      </c>
    </row>
    <row r="147" spans="1:3">
      <c r="A147" t="s">
        <v>295</v>
      </c>
      <c r="B147">
        <v>1</v>
      </c>
      <c r="C147">
        <v>0</v>
      </c>
    </row>
    <row r="148" spans="1:3">
      <c r="A148" t="s">
        <v>245</v>
      </c>
      <c r="B148">
        <v>1</v>
      </c>
      <c r="C148">
        <v>0</v>
      </c>
    </row>
    <row r="149" spans="1:3">
      <c r="A149" t="s">
        <v>289</v>
      </c>
      <c r="B149">
        <v>2.5</v>
      </c>
      <c r="C149">
        <v>0</v>
      </c>
    </row>
    <row r="150" spans="1:3">
      <c r="A150" t="s">
        <v>288</v>
      </c>
      <c r="B150">
        <v>3.5</v>
      </c>
      <c r="C150">
        <v>0</v>
      </c>
    </row>
    <row r="151" spans="1:3">
      <c r="A151" t="s">
        <v>216</v>
      </c>
      <c r="B151">
        <v>2</v>
      </c>
      <c r="C151">
        <v>0</v>
      </c>
    </row>
    <row r="152" spans="1:3">
      <c r="A152" t="s">
        <v>307</v>
      </c>
      <c r="B152">
        <v>0.5</v>
      </c>
      <c r="C152">
        <v>0</v>
      </c>
    </row>
    <row r="153" spans="1:3">
      <c r="A153" t="s">
        <v>232</v>
      </c>
      <c r="B153">
        <v>1</v>
      </c>
      <c r="C153">
        <v>0</v>
      </c>
    </row>
    <row r="154" spans="1:3">
      <c r="A154" t="s">
        <v>306</v>
      </c>
      <c r="B154">
        <v>0.5</v>
      </c>
      <c r="C154">
        <v>0</v>
      </c>
    </row>
    <row r="155" spans="1:3">
      <c r="A155" t="s">
        <v>276</v>
      </c>
      <c r="B155">
        <v>1</v>
      </c>
      <c r="C155">
        <v>0</v>
      </c>
    </row>
    <row r="156" spans="1:3">
      <c r="A156" t="s">
        <v>238</v>
      </c>
      <c r="B156">
        <v>4</v>
      </c>
      <c r="C156">
        <v>0</v>
      </c>
    </row>
    <row r="157" spans="1:3">
      <c r="A157" t="s">
        <v>256</v>
      </c>
      <c r="B157">
        <v>3</v>
      </c>
      <c r="C157">
        <v>0</v>
      </c>
    </row>
    <row r="158" spans="1:3">
      <c r="A158" t="s">
        <v>220</v>
      </c>
      <c r="B158">
        <v>1</v>
      </c>
      <c r="C158">
        <v>0</v>
      </c>
    </row>
    <row r="159" spans="1:3">
      <c r="A159" t="s">
        <v>198</v>
      </c>
      <c r="B159">
        <v>1</v>
      </c>
      <c r="C159">
        <v>0</v>
      </c>
    </row>
    <row r="160" spans="1:3">
      <c r="A160" t="s">
        <v>252</v>
      </c>
      <c r="B160">
        <v>0</v>
      </c>
      <c r="C160">
        <v>0</v>
      </c>
    </row>
    <row r="161" spans="1:3">
      <c r="A161" t="s">
        <v>301</v>
      </c>
      <c r="B161">
        <v>2</v>
      </c>
      <c r="C161">
        <v>0</v>
      </c>
    </row>
    <row r="162" spans="1:3">
      <c r="A162" t="s">
        <v>114</v>
      </c>
      <c r="B162">
        <v>1.5</v>
      </c>
      <c r="C162">
        <v>0</v>
      </c>
    </row>
    <row r="163" spans="1:3">
      <c r="A163" t="s">
        <v>290</v>
      </c>
      <c r="B163">
        <v>2.5</v>
      </c>
      <c r="C163">
        <v>0</v>
      </c>
    </row>
    <row r="164" spans="1:3">
      <c r="A164" t="s">
        <v>247</v>
      </c>
      <c r="B164">
        <v>2</v>
      </c>
      <c r="C164">
        <v>0</v>
      </c>
    </row>
    <row r="165" spans="1:3">
      <c r="A165" t="s">
        <v>281</v>
      </c>
      <c r="B165">
        <v>5</v>
      </c>
      <c r="C165">
        <v>0</v>
      </c>
    </row>
    <row r="166" spans="1:3">
      <c r="A166" t="s">
        <v>242</v>
      </c>
      <c r="B166">
        <v>0.5</v>
      </c>
      <c r="C166">
        <v>0</v>
      </c>
    </row>
    <row r="167" spans="1:3">
      <c r="A167" t="s">
        <v>274</v>
      </c>
      <c r="B167">
        <v>2</v>
      </c>
      <c r="C167">
        <v>0</v>
      </c>
    </row>
    <row r="168" spans="1:3">
      <c r="A168" t="s">
        <v>115</v>
      </c>
      <c r="B168">
        <v>2.5</v>
      </c>
      <c r="C168">
        <v>0</v>
      </c>
    </row>
    <row r="169" spans="1:3">
      <c r="A169" t="s">
        <v>287</v>
      </c>
      <c r="B169">
        <v>2</v>
      </c>
      <c r="C169">
        <v>0</v>
      </c>
    </row>
    <row r="170" spans="1:3">
      <c r="A170" t="s">
        <v>280</v>
      </c>
      <c r="B170">
        <v>1</v>
      </c>
      <c r="C170">
        <v>0</v>
      </c>
    </row>
    <row r="171" spans="1:3">
      <c r="A171" t="s">
        <v>222</v>
      </c>
      <c r="B171">
        <v>1</v>
      </c>
      <c r="C171">
        <v>0</v>
      </c>
    </row>
    <row r="172" spans="1:3">
      <c r="A172" t="s">
        <v>248</v>
      </c>
      <c r="B172">
        <v>5.5</v>
      </c>
      <c r="C172">
        <v>0</v>
      </c>
    </row>
    <row r="173" spans="1:3">
      <c r="A173" t="s">
        <v>302</v>
      </c>
      <c r="B173">
        <v>1</v>
      </c>
      <c r="C173">
        <v>0</v>
      </c>
    </row>
    <row r="174" spans="1:3">
      <c r="A174" t="s">
        <v>272</v>
      </c>
      <c r="B174">
        <v>2</v>
      </c>
      <c r="C174">
        <v>0</v>
      </c>
    </row>
    <row r="175" spans="1:3">
      <c r="A175" t="s">
        <v>297</v>
      </c>
      <c r="B175">
        <v>1</v>
      </c>
      <c r="C175">
        <v>0</v>
      </c>
    </row>
    <row r="176" spans="1:3">
      <c r="A176" t="s">
        <v>286</v>
      </c>
      <c r="B176">
        <v>1</v>
      </c>
      <c r="C176">
        <v>0</v>
      </c>
    </row>
    <row r="177" spans="1:3">
      <c r="A177" t="s">
        <v>305</v>
      </c>
      <c r="B177">
        <v>1</v>
      </c>
      <c r="C177">
        <v>0</v>
      </c>
    </row>
    <row r="178" spans="1:3">
      <c r="A178" t="s">
        <v>269</v>
      </c>
      <c r="B178">
        <v>2</v>
      </c>
      <c r="C178">
        <v>0</v>
      </c>
    </row>
    <row r="179" spans="1:3">
      <c r="A179" t="s">
        <v>149</v>
      </c>
      <c r="B179">
        <v>0.5</v>
      </c>
      <c r="C179">
        <v>0</v>
      </c>
    </row>
    <row r="180" spans="1:3">
      <c r="A180" t="s">
        <v>271</v>
      </c>
      <c r="B180">
        <v>1</v>
      </c>
      <c r="C180">
        <v>0</v>
      </c>
    </row>
    <row r="181" spans="1:3">
      <c r="A181" t="s">
        <v>291</v>
      </c>
      <c r="B181">
        <v>0.5</v>
      </c>
      <c r="C181">
        <v>0</v>
      </c>
    </row>
    <row r="182" spans="1:3">
      <c r="A182" t="s">
        <v>250</v>
      </c>
      <c r="B182">
        <v>7</v>
      </c>
      <c r="C182">
        <v>0</v>
      </c>
    </row>
    <row r="183" spans="1:3">
      <c r="A183" t="s">
        <v>315</v>
      </c>
      <c r="B183">
        <v>1</v>
      </c>
      <c r="C183">
        <v>0</v>
      </c>
    </row>
    <row r="184" spans="1:3">
      <c r="A184" t="s">
        <v>150</v>
      </c>
      <c r="B184">
        <v>1</v>
      </c>
      <c r="C184">
        <v>0</v>
      </c>
    </row>
    <row r="185" spans="1:3">
      <c r="A185" t="s">
        <v>228</v>
      </c>
      <c r="B185">
        <v>1</v>
      </c>
      <c r="C185">
        <v>0</v>
      </c>
    </row>
    <row r="186" spans="1:3">
      <c r="A186" t="s">
        <v>309</v>
      </c>
      <c r="B186">
        <v>1</v>
      </c>
      <c r="C186">
        <v>0</v>
      </c>
    </row>
    <row r="187" spans="1:3">
      <c r="A187" t="s">
        <v>249</v>
      </c>
      <c r="B187">
        <v>1</v>
      </c>
      <c r="C187">
        <v>0</v>
      </c>
    </row>
    <row r="188" spans="1:3">
      <c r="A188" t="s">
        <v>253</v>
      </c>
      <c r="B188">
        <v>1</v>
      </c>
      <c r="C188">
        <v>0</v>
      </c>
    </row>
    <row r="189" spans="1:3">
      <c r="A189" t="s">
        <v>259</v>
      </c>
      <c r="B189">
        <v>1</v>
      </c>
      <c r="C189">
        <v>0</v>
      </c>
    </row>
    <row r="190" spans="1:3">
      <c r="A190" t="s">
        <v>279</v>
      </c>
      <c r="B190">
        <v>1</v>
      </c>
      <c r="C190">
        <v>0</v>
      </c>
    </row>
    <row r="191" spans="1:3">
      <c r="A191" t="s">
        <v>151</v>
      </c>
      <c r="B191">
        <v>1</v>
      </c>
      <c r="C191">
        <v>0</v>
      </c>
    </row>
    <row r="192" spans="1:3">
      <c r="A192" t="s">
        <v>251</v>
      </c>
      <c r="B192">
        <v>1</v>
      </c>
      <c r="C192">
        <v>0</v>
      </c>
    </row>
  </sheetData>
  <sortState ref="A2:C192">
    <sortCondition ref="A2:A19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46"/>
  <sheetViews>
    <sheetView tabSelected="1" workbookViewId="0">
      <pane ySplit="1" topLeftCell="A2" activePane="bottomLeft" state="frozen"/>
      <selection pane="bottomLeft" activeCell="K23" sqref="K23"/>
    </sheetView>
  </sheetViews>
  <sheetFormatPr defaultRowHeight="14.4"/>
  <cols>
    <col min="1" max="1" width="13.33203125" customWidth="1"/>
    <col min="2" max="2" width="21" customWidth="1"/>
    <col min="3" max="3" width="12.33203125" customWidth="1"/>
    <col min="4" max="4" width="17.5546875" customWidth="1"/>
    <col min="5" max="6" width="11.6640625" style="6" customWidth="1"/>
    <col min="7" max="7" width="8.77734375" customWidth="1"/>
    <col min="8" max="8" width="8.88671875" customWidth="1"/>
    <col min="9" max="9" width="8" customWidth="1"/>
    <col min="10" max="10" width="13.109375" customWidth="1"/>
    <col min="11" max="11" width="16.88671875" customWidth="1"/>
    <col min="12" max="12" width="16.44140625" customWidth="1"/>
    <col min="13" max="13" width="10.77734375" customWidth="1"/>
    <col min="14" max="14" width="17.44140625" customWidth="1"/>
    <col min="15" max="15" width="14.21875" customWidth="1"/>
    <col min="16" max="16" width="17.109375" customWidth="1"/>
  </cols>
  <sheetData>
    <row r="1" spans="1:16">
      <c r="A1" s="5" t="str">
        <f>biometric!A1</f>
        <v>Emp ID</v>
      </c>
      <c r="B1" s="5" t="str">
        <f>biometric!B1</f>
        <v>Name</v>
      </c>
      <c r="C1" s="5" t="str">
        <f>biometric!C1</f>
        <v>Designation</v>
      </c>
      <c r="D1" s="5" t="str">
        <f>biometric!D1</f>
        <v>Department</v>
      </c>
      <c r="E1" s="6" t="s">
        <v>4</v>
      </c>
      <c r="F1" s="6" t="s">
        <v>5</v>
      </c>
      <c r="G1" s="2" t="s">
        <v>5</v>
      </c>
      <c r="H1" s="2" t="s">
        <v>6</v>
      </c>
      <c r="I1" s="1" t="s">
        <v>318</v>
      </c>
      <c r="J1" s="1" t="s">
        <v>177</v>
      </c>
      <c r="K1" s="1" t="s">
        <v>178</v>
      </c>
      <c r="L1" s="1" t="s">
        <v>179</v>
      </c>
      <c r="M1" s="1" t="s">
        <v>319</v>
      </c>
      <c r="N1" s="1" t="s">
        <v>320</v>
      </c>
      <c r="O1" s="1" t="s">
        <v>321</v>
      </c>
      <c r="P1" s="4" t="s">
        <v>322</v>
      </c>
    </row>
    <row r="2" spans="1:16">
      <c r="A2" s="5" t="str">
        <f>biometric!A2</f>
        <v>GCU010004</v>
      </c>
      <c r="B2" s="5" t="str">
        <f>biometric!B2</f>
        <v>Kishore Kumar Choudhury</v>
      </c>
      <c r="C2" s="5" t="str">
        <f>biometric!C2</f>
        <v>-</v>
      </c>
      <c r="D2" s="5" t="str">
        <f>biometric!D2</f>
        <v>Administration</v>
      </c>
      <c r="E2" s="7">
        <v>20</v>
      </c>
      <c r="F2" s="7">
        <f>IFERROR(VLOOKUP(biometric!$A:$N,A2,14,FALSE),0)</f>
        <v>0</v>
      </c>
      <c r="G2" s="7">
        <f>IFERROR(VLOOKUP(biometric!$A:$N,B2,14,FALSE),0)</f>
        <v>0</v>
      </c>
      <c r="H2" t="str">
        <f>IFERROR(VLOOKUP(#REF!,#REF!, 7, FALSE), "")</f>
        <v/>
      </c>
      <c r="I2" t="str">
        <f>IFERROR(VLOOKUP(#REF!,#REF!, 14, FALSE), "")</f>
        <v/>
      </c>
      <c r="J2" t="str">
        <f>IFERROR(VLOOKUP(#REF!,#REF!, 2, FALSE), "")</f>
        <v/>
      </c>
      <c r="K2" t="str">
        <f>IFERROR(VLOOKUP(#REF!,#REF!, 3, FALSE), "")</f>
        <v/>
      </c>
      <c r="L2" t="str">
        <f>IFERROR(VLOOKUP(#REF!,#REF!, 4, FALSE), "")</f>
        <v/>
      </c>
      <c r="M2">
        <f>IFERROR(K2*0.5+L2*1,0)</f>
        <v>0</v>
      </c>
      <c r="N2" t="e">
        <f>H2-M2</f>
        <v>#VALUE!</v>
      </c>
      <c r="O2" t="str">
        <f>IFERROR(VLOOKUP(#REF!, erp_leave!$A:$D, 2, FALSE), "")</f>
        <v/>
      </c>
      <c r="P2">
        <f>IFERROR(ABS(O2-N2),0)</f>
        <v>0</v>
      </c>
    </row>
    <row r="3" spans="1:16">
      <c r="A3" s="5" t="str">
        <f>biometric!A3</f>
        <v>GCU010005</v>
      </c>
      <c r="B3" s="5" t="str">
        <f>biometric!B3</f>
        <v>Dwipen  Das</v>
      </c>
      <c r="C3" s="5" t="str">
        <f>biometric!C3</f>
        <v>Administration</v>
      </c>
      <c r="D3" s="5" t="str">
        <f>biometric!D3</f>
        <v>Administration</v>
      </c>
      <c r="E3" s="7">
        <v>20</v>
      </c>
      <c r="F3" s="7"/>
      <c r="G3" t="str">
        <f>IFERROR(VLOOKUP(#REF!,#REF!, 6, FALSE), "")</f>
        <v/>
      </c>
      <c r="H3" t="str">
        <f>IFERROR(VLOOKUP(#REF!,#REF!, 7, FALSE), "")</f>
        <v/>
      </c>
      <c r="I3" t="str">
        <f>IFERROR(VLOOKUP(#REF!,#REF!, 14, FALSE), "")</f>
        <v/>
      </c>
      <c r="J3" t="str">
        <f>IFERROR(VLOOKUP(#REF!,#REF!, 2, FALSE), "")</f>
        <v/>
      </c>
      <c r="K3" t="str">
        <f>IFERROR(VLOOKUP(#REF!,#REF!, 3, FALSE), "")</f>
        <v/>
      </c>
      <c r="L3" t="str">
        <f>IFERROR(VLOOKUP(#REF!,#REF!, 4, FALSE), "")</f>
        <v/>
      </c>
      <c r="M3">
        <f t="shared" ref="M3:M66" si="0">IFERROR(K3*0.5+L3*1,0)</f>
        <v>0</v>
      </c>
      <c r="N3" t="e">
        <f t="shared" ref="N3:N66" si="1">H3-M3</f>
        <v>#VALUE!</v>
      </c>
      <c r="O3" t="str">
        <f>IFERROR(VLOOKUP(#REF!, erp_leave!$A:$D, 2, FALSE), "")</f>
        <v/>
      </c>
      <c r="P3">
        <f t="shared" ref="P3:P66" si="2">IFERROR(ABS(O3-N3),0)</f>
        <v>0</v>
      </c>
    </row>
    <row r="4" spans="1:16">
      <c r="A4" s="5" t="str">
        <f>biometric!A4</f>
        <v>GCU010011</v>
      </c>
      <c r="B4" s="5" t="str">
        <f>biometric!B4</f>
        <v>Nripen Chandra Barman</v>
      </c>
      <c r="C4" s="5" t="str">
        <f>biometric!C4</f>
        <v>-</v>
      </c>
      <c r="D4" s="5" t="str">
        <f>biometric!D4</f>
        <v>Administration</v>
      </c>
      <c r="E4" s="7">
        <v>20</v>
      </c>
      <c r="F4" s="7"/>
      <c r="G4" t="str">
        <f>IFERROR(VLOOKUP(#REF!,#REF!, 6, FALSE), "")</f>
        <v/>
      </c>
      <c r="H4" t="str">
        <f>IFERROR(VLOOKUP(#REF!,#REF!, 7, FALSE), "")</f>
        <v/>
      </c>
      <c r="I4" t="str">
        <f>IFERROR(VLOOKUP(#REF!,#REF!, 14, FALSE), "")</f>
        <v/>
      </c>
      <c r="J4" t="str">
        <f>IFERROR(VLOOKUP(#REF!,#REF!, 2, FALSE), "")</f>
        <v/>
      </c>
      <c r="K4" t="str">
        <f>IFERROR(VLOOKUP(#REF!,#REF!, 3, FALSE), "")</f>
        <v/>
      </c>
      <c r="L4" t="str">
        <f>IFERROR(VLOOKUP(#REF!,#REF!, 4, FALSE), "")</f>
        <v/>
      </c>
      <c r="M4">
        <f t="shared" si="0"/>
        <v>0</v>
      </c>
      <c r="N4" t="e">
        <f t="shared" si="1"/>
        <v>#VALUE!</v>
      </c>
      <c r="O4" t="str">
        <f>IFERROR(VLOOKUP(#REF!, erp_leave!$A:$D, 2, FALSE), "")</f>
        <v/>
      </c>
      <c r="P4">
        <f t="shared" si="2"/>
        <v>0</v>
      </c>
    </row>
    <row r="5" spans="1:16">
      <c r="A5" s="5" t="str">
        <f>biometric!A5</f>
        <v>GCU010012</v>
      </c>
      <c r="B5" s="5" t="str">
        <f>biometric!B5</f>
        <v>Sourobh Mazinder Barua</v>
      </c>
      <c r="C5" s="5" t="str">
        <f>biometric!C5</f>
        <v>-</v>
      </c>
      <c r="D5" s="5" t="str">
        <f>biometric!D5</f>
        <v>Administration</v>
      </c>
      <c r="E5" s="7">
        <v>20</v>
      </c>
      <c r="F5" s="7"/>
      <c r="G5" t="str">
        <f>IFERROR(VLOOKUP(#REF!,#REF!, 6, FALSE), "")</f>
        <v/>
      </c>
      <c r="H5" t="str">
        <f>IFERROR(VLOOKUP(#REF!,#REF!, 7, FALSE), "")</f>
        <v/>
      </c>
      <c r="I5" t="str">
        <f>IFERROR(VLOOKUP(#REF!,#REF!, 14, FALSE), "")</f>
        <v/>
      </c>
      <c r="J5" t="str">
        <f>IFERROR(VLOOKUP(#REF!,#REF!, 2, FALSE), "")</f>
        <v/>
      </c>
      <c r="K5" t="str">
        <f>IFERROR(VLOOKUP(#REF!,#REF!, 3, FALSE), "")</f>
        <v/>
      </c>
      <c r="L5" t="str">
        <f>IFERROR(VLOOKUP(#REF!,#REF!, 4, FALSE), "")</f>
        <v/>
      </c>
      <c r="M5">
        <f t="shared" si="0"/>
        <v>0</v>
      </c>
      <c r="N5" t="e">
        <f t="shared" si="1"/>
        <v>#VALUE!</v>
      </c>
      <c r="O5" t="str">
        <f>IFERROR(VLOOKUP(#REF!, erp_leave!$A:$D, 2, FALSE), "")</f>
        <v/>
      </c>
      <c r="P5">
        <f t="shared" si="2"/>
        <v>0</v>
      </c>
    </row>
    <row r="6" spans="1:16">
      <c r="A6" s="5" t="str">
        <f>biometric!A6</f>
        <v>GCU010024</v>
      </c>
      <c r="B6" s="5" t="str">
        <f>biometric!B6</f>
        <v>Mridul  Das</v>
      </c>
      <c r="C6" s="5" t="str">
        <f>biometric!C6</f>
        <v>-</v>
      </c>
      <c r="D6" s="5" t="str">
        <f>biometric!D6</f>
        <v>Administration</v>
      </c>
      <c r="E6" s="7">
        <v>20</v>
      </c>
      <c r="F6" s="7"/>
      <c r="G6" t="str">
        <f>IFERROR(VLOOKUP(#REF!,#REF!, 6, FALSE), "")</f>
        <v/>
      </c>
      <c r="H6" t="str">
        <f>IFERROR(VLOOKUP(#REF!,#REF!, 7, FALSE), "")</f>
        <v/>
      </c>
      <c r="I6" t="str">
        <f>IFERROR(VLOOKUP(#REF!,#REF!, 14, FALSE), "")</f>
        <v/>
      </c>
      <c r="J6" t="str">
        <f>IFERROR(VLOOKUP(#REF!,#REF!, 2, FALSE), "")</f>
        <v/>
      </c>
      <c r="K6" t="str">
        <f>IFERROR(VLOOKUP(#REF!,#REF!, 3, FALSE), "")</f>
        <v/>
      </c>
      <c r="L6" t="str">
        <f>IFERROR(VLOOKUP(#REF!,#REF!, 4, FALSE), "")</f>
        <v/>
      </c>
      <c r="M6">
        <f t="shared" si="0"/>
        <v>0</v>
      </c>
      <c r="N6" t="e">
        <f t="shared" si="1"/>
        <v>#VALUE!</v>
      </c>
      <c r="O6" t="str">
        <f>IFERROR(VLOOKUP(#REF!, erp_leave!$A:$D, 2, FALSE), "")</f>
        <v/>
      </c>
      <c r="P6">
        <f t="shared" si="2"/>
        <v>0</v>
      </c>
    </row>
    <row r="7" spans="1:16">
      <c r="A7" s="5" t="str">
        <f>biometric!A7</f>
        <v>GCU010025</v>
      </c>
      <c r="B7" s="5" t="str">
        <f>biometric!B7</f>
        <v>Arup Kumar Das</v>
      </c>
      <c r="C7" s="5" t="str">
        <f>biometric!C7</f>
        <v>Administration</v>
      </c>
      <c r="D7" s="5" t="str">
        <f>biometric!D7</f>
        <v>Administration</v>
      </c>
      <c r="E7" s="7">
        <v>20</v>
      </c>
      <c r="F7" s="7"/>
      <c r="G7" t="str">
        <f>IFERROR(VLOOKUP(#REF!,#REF!, 6, FALSE), "")</f>
        <v/>
      </c>
      <c r="H7" t="str">
        <f>IFERROR(VLOOKUP(#REF!,#REF!, 7, FALSE), "")</f>
        <v/>
      </c>
      <c r="I7" t="str">
        <f>IFERROR(VLOOKUP(#REF!,#REF!, 14, FALSE), "")</f>
        <v/>
      </c>
      <c r="J7" t="str">
        <f>IFERROR(VLOOKUP(#REF!,#REF!, 2, FALSE), "")</f>
        <v/>
      </c>
      <c r="K7" t="str">
        <f>IFERROR(VLOOKUP(#REF!,#REF!, 3, FALSE), "")</f>
        <v/>
      </c>
      <c r="L7" t="str">
        <f>IFERROR(VLOOKUP(#REF!,#REF!, 4, FALSE), "")</f>
        <v/>
      </c>
      <c r="M7">
        <f t="shared" si="0"/>
        <v>0</v>
      </c>
      <c r="N7" t="e">
        <f t="shared" si="1"/>
        <v>#VALUE!</v>
      </c>
      <c r="O7" t="str">
        <f>IFERROR(VLOOKUP(#REF!, erp_leave!$A:$D, 2, FALSE), "")</f>
        <v/>
      </c>
      <c r="P7">
        <f t="shared" si="2"/>
        <v>0</v>
      </c>
    </row>
    <row r="8" spans="1:16">
      <c r="A8" s="5" t="str">
        <f>biometric!A8</f>
        <v>GCU010026</v>
      </c>
      <c r="B8" s="5" t="str">
        <f>biometric!B8</f>
        <v>Biraj Kr. Borgohain</v>
      </c>
      <c r="C8" s="5" t="str">
        <f>biometric!C8</f>
        <v>-</v>
      </c>
      <c r="D8" s="5" t="str">
        <f>biometric!D8</f>
        <v>Administration</v>
      </c>
      <c r="E8" s="7">
        <v>20</v>
      </c>
      <c r="F8" s="7"/>
      <c r="G8" t="str">
        <f>IFERROR(VLOOKUP(#REF!,#REF!, 6, FALSE), "")</f>
        <v/>
      </c>
      <c r="H8" t="str">
        <f>IFERROR(VLOOKUP(#REF!,#REF!, 7, FALSE), "")</f>
        <v/>
      </c>
      <c r="I8" t="str">
        <f>IFERROR(VLOOKUP(#REF!,#REF!, 14, FALSE), "")</f>
        <v/>
      </c>
      <c r="J8" t="str">
        <f>IFERROR(VLOOKUP(#REF!,#REF!, 2, FALSE), "")</f>
        <v/>
      </c>
      <c r="K8" t="str">
        <f>IFERROR(VLOOKUP(#REF!,#REF!, 3, FALSE), "")</f>
        <v/>
      </c>
      <c r="L8" t="str">
        <f>IFERROR(VLOOKUP(#REF!,#REF!, 4, FALSE), "")</f>
        <v/>
      </c>
      <c r="M8">
        <f t="shared" si="0"/>
        <v>0</v>
      </c>
      <c r="N8" t="e">
        <f t="shared" si="1"/>
        <v>#VALUE!</v>
      </c>
      <c r="O8" t="str">
        <f>IFERROR(VLOOKUP(#REF!, erp_leave!$A:$D, 2, FALSE), "")</f>
        <v/>
      </c>
      <c r="P8">
        <f t="shared" si="2"/>
        <v>0</v>
      </c>
    </row>
    <row r="9" spans="1:16">
      <c r="A9" s="5" t="str">
        <f>biometric!A9</f>
        <v>GCU010033</v>
      </c>
      <c r="B9" s="5" t="str">
        <f>biometric!B9</f>
        <v>Parash Kumar Das</v>
      </c>
      <c r="C9" s="5" t="str">
        <f>biometric!C9</f>
        <v>Lab assistant</v>
      </c>
      <c r="D9" s="5" t="str">
        <f>biometric!D9</f>
        <v>Administration</v>
      </c>
      <c r="E9" s="7">
        <v>20</v>
      </c>
      <c r="F9" s="7"/>
      <c r="G9" t="str">
        <f>IFERROR(VLOOKUP(#REF!,#REF!, 6, FALSE), "")</f>
        <v/>
      </c>
      <c r="H9" t="str">
        <f>IFERROR(VLOOKUP(#REF!,#REF!, 7, FALSE), "")</f>
        <v/>
      </c>
      <c r="I9" t="str">
        <f>IFERROR(VLOOKUP(#REF!,#REF!, 14, FALSE), "")</f>
        <v/>
      </c>
      <c r="J9" t="str">
        <f>IFERROR(VLOOKUP(#REF!,#REF!, 2, FALSE), "")</f>
        <v/>
      </c>
      <c r="K9" t="str">
        <f>IFERROR(VLOOKUP(#REF!,#REF!, 3, FALSE), "")</f>
        <v/>
      </c>
      <c r="L9" t="str">
        <f>IFERROR(VLOOKUP(#REF!,#REF!, 4, FALSE), "")</f>
        <v/>
      </c>
      <c r="M9">
        <f t="shared" si="0"/>
        <v>0</v>
      </c>
      <c r="N9" t="e">
        <f t="shared" si="1"/>
        <v>#VALUE!</v>
      </c>
      <c r="O9" t="str">
        <f>IFERROR(VLOOKUP(#REF!, erp_leave!$A:$D, 2, FALSE), "")</f>
        <v/>
      </c>
      <c r="P9">
        <f t="shared" si="2"/>
        <v>0</v>
      </c>
    </row>
    <row r="10" spans="1:16">
      <c r="A10" s="5" t="str">
        <f>biometric!A10</f>
        <v>GCU010034</v>
      </c>
      <c r="B10" s="5" t="str">
        <f>biometric!B10</f>
        <v>Manish  Das</v>
      </c>
      <c r="C10" s="5" t="str">
        <f>biometric!C10</f>
        <v>-</v>
      </c>
      <c r="D10" s="5" t="str">
        <f>biometric!D10</f>
        <v>Admin Non Teaching</v>
      </c>
      <c r="E10" s="7">
        <v>20</v>
      </c>
      <c r="F10" s="7"/>
      <c r="G10" t="str">
        <f>IFERROR(VLOOKUP(#REF!,#REF!, 6, FALSE), "")</f>
        <v/>
      </c>
      <c r="H10" t="str">
        <f>IFERROR(VLOOKUP(#REF!,#REF!, 7, FALSE), "")</f>
        <v/>
      </c>
      <c r="I10" t="str">
        <f>IFERROR(VLOOKUP(#REF!,#REF!, 14, FALSE), "")</f>
        <v/>
      </c>
      <c r="J10" t="str">
        <f>IFERROR(VLOOKUP(#REF!,#REF!, 2, FALSE), "")</f>
        <v/>
      </c>
      <c r="K10" t="str">
        <f>IFERROR(VLOOKUP(#REF!,#REF!, 3, FALSE), "")</f>
        <v/>
      </c>
      <c r="L10" t="str">
        <f>IFERROR(VLOOKUP(#REF!,#REF!, 4, FALSE), "")</f>
        <v/>
      </c>
      <c r="M10">
        <f t="shared" si="0"/>
        <v>0</v>
      </c>
      <c r="N10" t="e">
        <f t="shared" si="1"/>
        <v>#VALUE!</v>
      </c>
      <c r="O10" t="str">
        <f>IFERROR(VLOOKUP(#REF!, erp_leave!$A:$D, 2, FALSE), "")</f>
        <v/>
      </c>
      <c r="P10">
        <f t="shared" si="2"/>
        <v>0</v>
      </c>
    </row>
    <row r="11" spans="1:16">
      <c r="A11" s="5" t="str">
        <f>biometric!A11</f>
        <v>GCU010036</v>
      </c>
      <c r="B11" s="5" t="str">
        <f>biometric!B11</f>
        <v>Pranjeet  Das</v>
      </c>
      <c r="C11" s="5" t="str">
        <f>biometric!C11</f>
        <v>-</v>
      </c>
      <c r="D11" s="5" t="str">
        <f>biometric!D11</f>
        <v>Administration</v>
      </c>
      <c r="E11" s="7">
        <v>20</v>
      </c>
      <c r="F11" s="7"/>
      <c r="G11" t="str">
        <f>IFERROR(VLOOKUP(#REF!,#REF!, 6, FALSE), "")</f>
        <v/>
      </c>
      <c r="H11" t="str">
        <f>IFERROR(VLOOKUP(#REF!,#REF!, 7, FALSE), "")</f>
        <v/>
      </c>
      <c r="I11" t="str">
        <f>IFERROR(VLOOKUP(#REF!,#REF!, 14, FALSE), "")</f>
        <v/>
      </c>
      <c r="J11" t="str">
        <f>IFERROR(VLOOKUP(#REF!,#REF!, 2, FALSE), "")</f>
        <v/>
      </c>
      <c r="K11" t="str">
        <f>IFERROR(VLOOKUP(#REF!,#REF!, 3, FALSE), "")</f>
        <v/>
      </c>
      <c r="L11" t="str">
        <f>IFERROR(VLOOKUP(#REF!,#REF!, 4, FALSE), "")</f>
        <v/>
      </c>
      <c r="M11">
        <f t="shared" si="0"/>
        <v>0</v>
      </c>
      <c r="N11" t="e">
        <f t="shared" si="1"/>
        <v>#VALUE!</v>
      </c>
      <c r="O11" t="str">
        <f>IFERROR(VLOOKUP(#REF!, erp_leave!$A:$D, 2, FALSE), "")</f>
        <v/>
      </c>
      <c r="P11">
        <f t="shared" si="2"/>
        <v>0</v>
      </c>
    </row>
    <row r="12" spans="1:16">
      <c r="A12" s="5" t="str">
        <f>biometric!A12</f>
        <v>GCU010037</v>
      </c>
      <c r="B12" s="5" t="str">
        <f>biometric!B12</f>
        <v>ANUJ  MEDHI</v>
      </c>
      <c r="C12" s="5" t="str">
        <f>biometric!C12</f>
        <v>-</v>
      </c>
      <c r="D12" s="5" t="str">
        <f>biometric!D12</f>
        <v>Administration</v>
      </c>
      <c r="E12" s="7">
        <v>20</v>
      </c>
      <c r="F12" s="7"/>
      <c r="G12" t="str">
        <f>IFERROR(VLOOKUP(#REF!,#REF!, 6, FALSE), "")</f>
        <v/>
      </c>
      <c r="H12" t="str">
        <f>IFERROR(VLOOKUP(#REF!,#REF!, 7, FALSE), "")</f>
        <v/>
      </c>
      <c r="I12" t="str">
        <f>IFERROR(VLOOKUP(#REF!,#REF!, 14, FALSE), "")</f>
        <v/>
      </c>
      <c r="J12" t="str">
        <f>IFERROR(VLOOKUP(#REF!,#REF!, 2, FALSE), "")</f>
        <v/>
      </c>
      <c r="K12" t="str">
        <f>IFERROR(VLOOKUP(#REF!,#REF!, 3, FALSE), "")</f>
        <v/>
      </c>
      <c r="L12" t="str">
        <f>IFERROR(VLOOKUP(#REF!,#REF!, 4, FALSE), "")</f>
        <v/>
      </c>
      <c r="M12">
        <f t="shared" si="0"/>
        <v>0</v>
      </c>
      <c r="N12" t="e">
        <f t="shared" si="1"/>
        <v>#VALUE!</v>
      </c>
      <c r="O12" t="str">
        <f>IFERROR(VLOOKUP(#REF!, erp_leave!$A:$D, 2, FALSE), "")</f>
        <v/>
      </c>
      <c r="P12">
        <f t="shared" si="2"/>
        <v>0</v>
      </c>
    </row>
    <row r="13" spans="1:16">
      <c r="A13" s="5" t="str">
        <f>biometric!A13</f>
        <v>GCU010038</v>
      </c>
      <c r="B13" s="5" t="str">
        <f>biometric!B13</f>
        <v>Nayanjyoti  Baruah</v>
      </c>
      <c r="C13" s="5" t="str">
        <f>biometric!C13</f>
        <v>-</v>
      </c>
      <c r="D13" s="5" t="str">
        <f>biometric!D13</f>
        <v>Admin Non Teaching</v>
      </c>
      <c r="E13" s="7">
        <v>20</v>
      </c>
      <c r="F13" s="7"/>
      <c r="G13" t="str">
        <f>IFERROR(VLOOKUP(#REF!,#REF!, 6, FALSE), "")</f>
        <v/>
      </c>
      <c r="H13" t="str">
        <f>IFERROR(VLOOKUP(#REF!,#REF!, 7, FALSE), "")</f>
        <v/>
      </c>
      <c r="I13" t="str">
        <f>IFERROR(VLOOKUP(#REF!,#REF!, 14, FALSE), "")</f>
        <v/>
      </c>
      <c r="J13" t="str">
        <f>IFERROR(VLOOKUP(#REF!,#REF!, 2, FALSE), "")</f>
        <v/>
      </c>
      <c r="K13" t="str">
        <f>IFERROR(VLOOKUP(#REF!,#REF!, 3, FALSE), "")</f>
        <v/>
      </c>
      <c r="L13" t="str">
        <f>IFERROR(VLOOKUP(#REF!,#REF!, 4, FALSE), "")</f>
        <v/>
      </c>
      <c r="M13">
        <f t="shared" si="0"/>
        <v>0</v>
      </c>
      <c r="N13" t="e">
        <f t="shared" si="1"/>
        <v>#VALUE!</v>
      </c>
      <c r="O13" t="str">
        <f>IFERROR(VLOOKUP(#REF!, erp_leave!$A:$D, 2, FALSE), "")</f>
        <v/>
      </c>
      <c r="P13">
        <f t="shared" si="2"/>
        <v>0</v>
      </c>
    </row>
    <row r="14" spans="1:16">
      <c r="A14" s="5" t="str">
        <f>biometric!A14</f>
        <v>GCU010039</v>
      </c>
      <c r="B14" s="5" t="str">
        <f>biometric!B14</f>
        <v>Babita  Baishya</v>
      </c>
      <c r="C14" s="5" t="str">
        <f>biometric!C14</f>
        <v>-</v>
      </c>
      <c r="D14" s="5" t="str">
        <f>biometric!D14</f>
        <v>Administration</v>
      </c>
      <c r="E14" s="7">
        <v>20</v>
      </c>
      <c r="F14" s="7"/>
      <c r="G14" t="str">
        <f>IFERROR(VLOOKUP(#REF!,#REF!, 6, FALSE), "")</f>
        <v/>
      </c>
      <c r="H14" t="str">
        <f>IFERROR(VLOOKUP(#REF!,#REF!, 7, FALSE), "")</f>
        <v/>
      </c>
      <c r="I14" t="str">
        <f>IFERROR(VLOOKUP(#REF!,#REF!, 14, FALSE), "")</f>
        <v/>
      </c>
      <c r="J14" t="str">
        <f>IFERROR(VLOOKUP(#REF!,#REF!, 2, FALSE), "")</f>
        <v/>
      </c>
      <c r="K14" t="str">
        <f>IFERROR(VLOOKUP(#REF!,#REF!, 3, FALSE), "")</f>
        <v/>
      </c>
      <c r="L14" t="str">
        <f>IFERROR(VLOOKUP(#REF!,#REF!, 4, FALSE), "")</f>
        <v/>
      </c>
      <c r="M14">
        <f t="shared" si="0"/>
        <v>0</v>
      </c>
      <c r="N14" t="e">
        <f t="shared" si="1"/>
        <v>#VALUE!</v>
      </c>
      <c r="O14" t="str">
        <f>IFERROR(VLOOKUP(#REF!, erp_leave!$A:$D, 2, FALSE), "")</f>
        <v/>
      </c>
      <c r="P14">
        <f t="shared" si="2"/>
        <v>0</v>
      </c>
    </row>
    <row r="15" spans="1:16" s="3" customFormat="1">
      <c r="A15" s="5" t="str">
        <f>biometric!A15</f>
        <v>GCU010040</v>
      </c>
      <c r="B15" s="5" t="str">
        <f>biometric!B15</f>
        <v>Banajit  Nath</v>
      </c>
      <c r="C15" s="5" t="str">
        <f>biometric!C15</f>
        <v>-</v>
      </c>
      <c r="D15" s="5" t="str">
        <f>biometric!D15</f>
        <v>Administration</v>
      </c>
      <c r="E15" s="7">
        <v>20</v>
      </c>
      <c r="F15" s="7"/>
      <c r="G15" s="3" t="str">
        <f>IFERROR(VLOOKUP(#REF!,#REF!, 6, FALSE), "")</f>
        <v/>
      </c>
      <c r="H15" s="3" t="str">
        <f>IFERROR(VLOOKUP(#REF!,#REF!, 7, FALSE), "")</f>
        <v/>
      </c>
      <c r="I15" s="3" t="str">
        <f>IFERROR(VLOOKUP(#REF!,#REF!, 14, FALSE), "")</f>
        <v/>
      </c>
      <c r="J15" s="3" t="str">
        <f>IFERROR(VLOOKUP(#REF!,#REF!, 2, FALSE), "")</f>
        <v/>
      </c>
      <c r="K15" s="3" t="str">
        <f>IFERROR(VLOOKUP(#REF!,#REF!, 3, FALSE), "")</f>
        <v/>
      </c>
      <c r="L15" s="3" t="str">
        <f>IFERROR(VLOOKUP(#REF!,#REF!, 4, FALSE), "")</f>
        <v/>
      </c>
      <c r="M15" s="3">
        <f t="shared" si="0"/>
        <v>0</v>
      </c>
      <c r="N15" s="3" t="e">
        <f t="shared" si="1"/>
        <v>#VALUE!</v>
      </c>
      <c r="O15" s="3" t="str">
        <f>IFERROR(VLOOKUP(#REF!, erp_leave!$A:$D, 2, FALSE), "")</f>
        <v/>
      </c>
      <c r="P15">
        <f t="shared" si="2"/>
        <v>0</v>
      </c>
    </row>
    <row r="16" spans="1:16">
      <c r="A16" s="5" t="str">
        <f>biometric!A16</f>
        <v>GCU010042</v>
      </c>
      <c r="B16" s="5" t="str">
        <f>biometric!B16</f>
        <v>ANJAN  DEKA</v>
      </c>
      <c r="C16" s="5" t="str">
        <f>biometric!C16</f>
        <v>Administration</v>
      </c>
      <c r="D16" s="5" t="str">
        <f>biometric!D16</f>
        <v>Administration</v>
      </c>
      <c r="E16" s="7">
        <v>20</v>
      </c>
      <c r="F16" s="7"/>
      <c r="G16" t="str">
        <f>IFERROR(VLOOKUP(#REF!,#REF!, 6, FALSE), "")</f>
        <v/>
      </c>
      <c r="H16" t="str">
        <f>IFERROR(VLOOKUP(#REF!,#REF!, 7, FALSE), "")</f>
        <v/>
      </c>
      <c r="I16" t="str">
        <f>IFERROR(VLOOKUP(#REF!,#REF!, 14, FALSE), "")</f>
        <v/>
      </c>
      <c r="J16" t="str">
        <f>IFERROR(VLOOKUP(#REF!,#REF!, 2, FALSE), "")</f>
        <v/>
      </c>
      <c r="K16" t="str">
        <f>IFERROR(VLOOKUP(#REF!,#REF!, 3, FALSE), "")</f>
        <v/>
      </c>
      <c r="L16" t="str">
        <f>IFERROR(VLOOKUP(#REF!,#REF!, 4, FALSE), "")</f>
        <v/>
      </c>
      <c r="M16">
        <f t="shared" si="0"/>
        <v>0</v>
      </c>
      <c r="N16" t="e">
        <f t="shared" si="1"/>
        <v>#VALUE!</v>
      </c>
      <c r="O16" t="str">
        <f>IFERROR(VLOOKUP(#REF!, erp_leave!$A:$D, 2, FALSE), "")</f>
        <v/>
      </c>
      <c r="P16">
        <f t="shared" si="2"/>
        <v>0</v>
      </c>
    </row>
    <row r="17" spans="1:16">
      <c r="A17" s="5" t="str">
        <f>biometric!A17</f>
        <v>GCU010043</v>
      </c>
      <c r="B17" s="5" t="str">
        <f>biometric!B17</f>
        <v>Papari  Das</v>
      </c>
      <c r="C17" s="5" t="str">
        <f>biometric!C17</f>
        <v>-</v>
      </c>
      <c r="D17" s="5" t="str">
        <f>biometric!D17</f>
        <v>Administration</v>
      </c>
      <c r="E17" s="7">
        <v>20</v>
      </c>
      <c r="F17" s="7"/>
      <c r="G17" t="str">
        <f>IFERROR(VLOOKUP(#REF!,#REF!, 6, FALSE), "")</f>
        <v/>
      </c>
      <c r="H17" t="str">
        <f>IFERROR(VLOOKUP(#REF!,#REF!, 7, FALSE), "")</f>
        <v/>
      </c>
      <c r="I17" t="str">
        <f>IFERROR(VLOOKUP(#REF!,#REF!, 14, FALSE), "")</f>
        <v/>
      </c>
      <c r="J17" t="str">
        <f>IFERROR(VLOOKUP(#REF!,#REF!, 2, FALSE), "")</f>
        <v/>
      </c>
      <c r="K17" t="str">
        <f>IFERROR(VLOOKUP(#REF!,#REF!, 3, FALSE), "")</f>
        <v/>
      </c>
      <c r="L17" t="str">
        <f>IFERROR(VLOOKUP(#REF!,#REF!, 4, FALSE), "")</f>
        <v/>
      </c>
      <c r="M17">
        <f t="shared" si="0"/>
        <v>0</v>
      </c>
      <c r="N17" t="e">
        <f t="shared" si="1"/>
        <v>#VALUE!</v>
      </c>
      <c r="O17" t="str">
        <f>IFERROR(VLOOKUP(#REF!, erp_leave!$A:$D, 2, FALSE), "")</f>
        <v/>
      </c>
      <c r="P17">
        <f t="shared" si="2"/>
        <v>0</v>
      </c>
    </row>
    <row r="18" spans="1:16">
      <c r="A18" s="5" t="str">
        <f>biometric!A18</f>
        <v>GCU010044</v>
      </c>
      <c r="B18" s="5" t="str">
        <f>biometric!B18</f>
        <v>Angkesh Sarma Bordoloi</v>
      </c>
      <c r="C18" s="5" t="str">
        <f>biometric!C18</f>
        <v>-</v>
      </c>
      <c r="D18" s="5" t="str">
        <f>biometric!D18</f>
        <v>Administration</v>
      </c>
      <c r="E18" s="7">
        <v>20</v>
      </c>
      <c r="F18" s="7"/>
      <c r="G18" t="str">
        <f>IFERROR(VLOOKUP(#REF!,#REF!, 6, FALSE), "")</f>
        <v/>
      </c>
      <c r="H18" t="str">
        <f>IFERROR(VLOOKUP(#REF!,#REF!, 7, FALSE), "")</f>
        <v/>
      </c>
      <c r="I18" t="str">
        <f>IFERROR(VLOOKUP(#REF!,#REF!, 14, FALSE), "")</f>
        <v/>
      </c>
      <c r="J18" t="str">
        <f>IFERROR(VLOOKUP(#REF!,#REF!, 2, FALSE), "")</f>
        <v/>
      </c>
      <c r="K18" t="str">
        <f>IFERROR(VLOOKUP(#REF!,#REF!, 3, FALSE), "")</f>
        <v/>
      </c>
      <c r="L18" t="str">
        <f>IFERROR(VLOOKUP(#REF!,#REF!, 4, FALSE), "")</f>
        <v/>
      </c>
      <c r="M18">
        <f t="shared" si="0"/>
        <v>0</v>
      </c>
      <c r="N18" t="e">
        <f t="shared" si="1"/>
        <v>#VALUE!</v>
      </c>
      <c r="O18" t="str">
        <f>IFERROR(VLOOKUP(#REF!, erp_leave!$A:$D, 2, FALSE), "")</f>
        <v/>
      </c>
      <c r="P18">
        <f t="shared" si="2"/>
        <v>0</v>
      </c>
    </row>
    <row r="19" spans="1:16">
      <c r="A19" s="5" t="str">
        <f>biometric!A19</f>
        <v>GCU030001</v>
      </c>
      <c r="B19" s="5" t="str">
        <f>biometric!B19</f>
        <v>Sakina Bibi</v>
      </c>
      <c r="C19" s="5" t="str">
        <f>biometric!C19</f>
        <v>Cleaner</v>
      </c>
      <c r="D19" s="5" t="str">
        <f>biometric!D19</f>
        <v>Admin Non Teaching</v>
      </c>
      <c r="E19" s="7">
        <v>20</v>
      </c>
      <c r="F19" s="7"/>
      <c r="G19" t="str">
        <f>IFERROR(VLOOKUP(#REF!,#REF!, 6, FALSE), "")</f>
        <v/>
      </c>
      <c r="H19" t="str">
        <f>IFERROR(VLOOKUP(#REF!,#REF!, 7, FALSE), "")</f>
        <v/>
      </c>
      <c r="I19" t="str">
        <f>IFERROR(VLOOKUP(#REF!,#REF!, 14, FALSE), "")</f>
        <v/>
      </c>
      <c r="J19" t="str">
        <f>IFERROR(VLOOKUP(#REF!,#REF!, 2, FALSE), "")</f>
        <v/>
      </c>
      <c r="K19" t="str">
        <f>IFERROR(VLOOKUP(#REF!,#REF!, 3, FALSE), "")</f>
        <v/>
      </c>
      <c r="L19" t="str">
        <f>IFERROR(VLOOKUP(#REF!,#REF!, 4, FALSE), "")</f>
        <v/>
      </c>
      <c r="M19">
        <f t="shared" si="0"/>
        <v>0</v>
      </c>
      <c r="N19" t="e">
        <f t="shared" si="1"/>
        <v>#VALUE!</v>
      </c>
      <c r="O19" t="str">
        <f>IFERROR(VLOOKUP(#REF!, erp_leave!$A:$D, 2, FALSE), "")</f>
        <v/>
      </c>
      <c r="P19">
        <f t="shared" si="2"/>
        <v>0</v>
      </c>
    </row>
    <row r="20" spans="1:16">
      <c r="A20" s="5" t="str">
        <f>biometric!A20</f>
        <v>GCU030002</v>
      </c>
      <c r="B20" s="5" t="str">
        <f>biometric!B20</f>
        <v>Rehena Bibi</v>
      </c>
      <c r="C20" s="5" t="str">
        <f>biometric!C20</f>
        <v>Cleaner</v>
      </c>
      <c r="D20" s="5" t="str">
        <f>biometric!D20</f>
        <v>Admin Non Teaching</v>
      </c>
      <c r="E20" s="7">
        <v>20</v>
      </c>
      <c r="F20" s="7"/>
      <c r="G20" t="str">
        <f>IFERROR(VLOOKUP(#REF!,#REF!, 6, FALSE), "")</f>
        <v/>
      </c>
      <c r="H20" t="str">
        <f>IFERROR(VLOOKUP(#REF!,#REF!, 7, FALSE), "")</f>
        <v/>
      </c>
      <c r="I20" t="str">
        <f>IFERROR(VLOOKUP(#REF!,#REF!, 14, FALSE), "")</f>
        <v/>
      </c>
      <c r="J20" t="str">
        <f>IFERROR(VLOOKUP(#REF!,#REF!, 2, FALSE), "")</f>
        <v/>
      </c>
      <c r="K20" t="str">
        <f>IFERROR(VLOOKUP(#REF!,#REF!, 3, FALSE), "")</f>
        <v/>
      </c>
      <c r="L20" t="str">
        <f>IFERROR(VLOOKUP(#REF!,#REF!, 4, FALSE), "")</f>
        <v/>
      </c>
      <c r="M20">
        <f t="shared" si="0"/>
        <v>0</v>
      </c>
      <c r="N20" t="e">
        <f t="shared" si="1"/>
        <v>#VALUE!</v>
      </c>
      <c r="O20" t="str">
        <f>IFERROR(VLOOKUP(#REF!, erp_leave!$A:$D, 2, FALSE), "")</f>
        <v/>
      </c>
      <c r="P20">
        <f t="shared" si="2"/>
        <v>0</v>
      </c>
    </row>
    <row r="21" spans="1:16">
      <c r="A21" s="5" t="str">
        <f>biometric!A21</f>
        <v>GCU030003</v>
      </c>
      <c r="B21" s="5" t="str">
        <f>biometric!B21</f>
        <v>Iaja Bibi</v>
      </c>
      <c r="C21" s="5" t="str">
        <f>biometric!C21</f>
        <v>Cleaner</v>
      </c>
      <c r="D21" s="5" t="str">
        <f>biometric!D21</f>
        <v>Admin Non Teaching</v>
      </c>
      <c r="E21" s="7">
        <v>20</v>
      </c>
      <c r="F21" s="7"/>
      <c r="G21" t="str">
        <f>IFERROR(VLOOKUP(#REF!,#REF!, 6, FALSE), "")</f>
        <v/>
      </c>
      <c r="H21" t="str">
        <f>IFERROR(VLOOKUP(#REF!,#REF!, 7, FALSE), "")</f>
        <v/>
      </c>
      <c r="I21" t="str">
        <f>IFERROR(VLOOKUP(#REF!,#REF!, 14, FALSE), "")</f>
        <v/>
      </c>
      <c r="J21" t="str">
        <f>IFERROR(VLOOKUP(#REF!,#REF!, 2, FALSE), "")</f>
        <v/>
      </c>
      <c r="K21" t="str">
        <f>IFERROR(VLOOKUP(#REF!,#REF!, 3, FALSE), "")</f>
        <v/>
      </c>
      <c r="L21" t="str">
        <f>IFERROR(VLOOKUP(#REF!,#REF!, 4, FALSE), "")</f>
        <v/>
      </c>
      <c r="M21">
        <f t="shared" si="0"/>
        <v>0</v>
      </c>
      <c r="N21" t="e">
        <f t="shared" si="1"/>
        <v>#VALUE!</v>
      </c>
      <c r="O21" t="str">
        <f>IFERROR(VLOOKUP(#REF!, erp_leave!$A:$D, 2, FALSE), "")</f>
        <v/>
      </c>
      <c r="P21">
        <f t="shared" si="2"/>
        <v>0</v>
      </c>
    </row>
    <row r="22" spans="1:16">
      <c r="A22" s="5" t="str">
        <f>biometric!A22</f>
        <v>GCU030004</v>
      </c>
      <c r="B22" s="5" t="str">
        <f>biometric!B22</f>
        <v>Nur Islam Ali Islam Ali</v>
      </c>
      <c r="C22" s="5" t="str">
        <f>biometric!C22</f>
        <v>Non Teaching</v>
      </c>
      <c r="D22" s="5" t="str">
        <f>biometric!D22</f>
        <v>Admin Non Teaching</v>
      </c>
      <c r="E22" s="7">
        <v>20</v>
      </c>
      <c r="F22" s="7"/>
      <c r="G22" t="str">
        <f>IFERROR(VLOOKUP(#REF!,#REF!, 6, FALSE), "")</f>
        <v/>
      </c>
      <c r="H22" t="str">
        <f>IFERROR(VLOOKUP(#REF!,#REF!, 7, FALSE), "")</f>
        <v/>
      </c>
      <c r="I22" t="str">
        <f>IFERROR(VLOOKUP(#REF!,#REF!, 14, FALSE), "")</f>
        <v/>
      </c>
      <c r="J22" t="str">
        <f>IFERROR(VLOOKUP(#REF!,#REF!, 2, FALSE), "")</f>
        <v/>
      </c>
      <c r="K22" t="str">
        <f>IFERROR(VLOOKUP(#REF!,#REF!, 3, FALSE), "")</f>
        <v/>
      </c>
      <c r="L22" t="str">
        <f>IFERROR(VLOOKUP(#REF!,#REF!, 4, FALSE), "")</f>
        <v/>
      </c>
      <c r="M22">
        <f t="shared" si="0"/>
        <v>0</v>
      </c>
      <c r="N22" t="e">
        <f t="shared" si="1"/>
        <v>#VALUE!</v>
      </c>
      <c r="O22" t="str">
        <f>IFERROR(VLOOKUP(#REF!, erp_leave!$A:$D, 2, FALSE), "")</f>
        <v/>
      </c>
      <c r="P22">
        <f t="shared" si="2"/>
        <v>0</v>
      </c>
    </row>
    <row r="23" spans="1:16">
      <c r="A23" s="5" t="str">
        <f>biometric!A23</f>
        <v>GCU030005</v>
      </c>
      <c r="B23" s="5" t="str">
        <f>biometric!B23</f>
        <v>Bhadreswar Das</v>
      </c>
      <c r="C23" s="5" t="str">
        <f>biometric!C23</f>
        <v>Security Guard</v>
      </c>
      <c r="D23" s="5" t="str">
        <f>biometric!D23</f>
        <v>Admin Non Teaching</v>
      </c>
      <c r="E23" s="7">
        <v>20</v>
      </c>
      <c r="F23" s="7"/>
      <c r="G23" t="str">
        <f>IFERROR(VLOOKUP(#REF!,#REF!, 6, FALSE), "")</f>
        <v/>
      </c>
      <c r="H23" t="str">
        <f>IFERROR(VLOOKUP(#REF!,#REF!, 7, FALSE), "")</f>
        <v/>
      </c>
      <c r="I23" t="str">
        <f>IFERROR(VLOOKUP(#REF!,#REF!, 14, FALSE), "")</f>
        <v/>
      </c>
      <c r="J23" t="str">
        <f>IFERROR(VLOOKUP(#REF!,#REF!, 2, FALSE), "")</f>
        <v/>
      </c>
      <c r="K23" t="str">
        <f>IFERROR(VLOOKUP(#REF!,#REF!, 3, FALSE), "")</f>
        <v/>
      </c>
      <c r="L23" t="str">
        <f>IFERROR(VLOOKUP(#REF!,#REF!, 4, FALSE), "")</f>
        <v/>
      </c>
      <c r="M23">
        <f t="shared" si="0"/>
        <v>0</v>
      </c>
      <c r="N23" t="e">
        <f t="shared" si="1"/>
        <v>#VALUE!</v>
      </c>
      <c r="O23" t="str">
        <f>IFERROR(VLOOKUP(#REF!, erp_leave!$A:$D, 2, FALSE), "")</f>
        <v/>
      </c>
      <c r="P23">
        <f t="shared" si="2"/>
        <v>0</v>
      </c>
    </row>
    <row r="24" spans="1:16">
      <c r="A24" s="5" t="str">
        <f>biometric!A24</f>
        <v>GCU030007</v>
      </c>
      <c r="B24" s="5" t="str">
        <f>biometric!B24</f>
        <v>Biren Das</v>
      </c>
      <c r="C24" s="5" t="str">
        <f>biometric!C24</f>
        <v>Non Teaching</v>
      </c>
      <c r="D24" s="5" t="str">
        <f>biometric!D24</f>
        <v>Admin Non Teaching</v>
      </c>
      <c r="E24" s="7">
        <v>20</v>
      </c>
      <c r="F24" s="7"/>
      <c r="G24" t="str">
        <f>IFERROR(VLOOKUP(#REF!,#REF!, 6, FALSE), "")</f>
        <v/>
      </c>
      <c r="H24" t="str">
        <f>IFERROR(VLOOKUP(#REF!,#REF!, 7, FALSE), "")</f>
        <v/>
      </c>
      <c r="I24" t="str">
        <f>IFERROR(VLOOKUP(#REF!,#REF!, 14, FALSE), "")</f>
        <v/>
      </c>
      <c r="J24" t="str">
        <f>IFERROR(VLOOKUP(#REF!,#REF!, 2, FALSE), "")</f>
        <v/>
      </c>
      <c r="K24" t="str">
        <f>IFERROR(VLOOKUP(#REF!,#REF!, 3, FALSE), "")</f>
        <v/>
      </c>
      <c r="L24" t="str">
        <f>IFERROR(VLOOKUP(#REF!,#REF!, 4, FALSE), "")</f>
        <v/>
      </c>
      <c r="M24">
        <f t="shared" si="0"/>
        <v>0</v>
      </c>
      <c r="N24" t="e">
        <f t="shared" si="1"/>
        <v>#VALUE!</v>
      </c>
      <c r="O24" t="str">
        <f>IFERROR(VLOOKUP(#REF!, erp_leave!$A:$D, 2, FALSE), "")</f>
        <v/>
      </c>
      <c r="P24">
        <f t="shared" si="2"/>
        <v>0</v>
      </c>
    </row>
    <row r="25" spans="1:16">
      <c r="A25" s="5" t="str">
        <f>biometric!A25</f>
        <v>GCU030008</v>
      </c>
      <c r="B25" s="5" t="str">
        <f>biometric!B25</f>
        <v>Santosh Das</v>
      </c>
      <c r="C25" s="5" t="str">
        <f>biometric!C25</f>
        <v>Non Teaching</v>
      </c>
      <c r="D25" s="5" t="str">
        <f>biometric!D25</f>
        <v>Admin Non Teaching</v>
      </c>
      <c r="E25" s="7">
        <v>20</v>
      </c>
      <c r="F25" s="7"/>
      <c r="G25" t="str">
        <f>IFERROR(VLOOKUP(#REF!,#REF!, 6, FALSE), "")</f>
        <v/>
      </c>
      <c r="H25" t="str">
        <f>IFERROR(VLOOKUP(#REF!,#REF!, 7, FALSE), "")</f>
        <v/>
      </c>
      <c r="I25" t="str">
        <f>IFERROR(VLOOKUP(#REF!,#REF!, 14, FALSE), "")</f>
        <v/>
      </c>
      <c r="J25" t="str">
        <f>IFERROR(VLOOKUP(#REF!,#REF!, 2, FALSE), "")</f>
        <v/>
      </c>
      <c r="K25" t="str">
        <f>IFERROR(VLOOKUP(#REF!,#REF!, 3, FALSE), "")</f>
        <v/>
      </c>
      <c r="L25" t="str">
        <f>IFERROR(VLOOKUP(#REF!,#REF!, 4, FALSE), "")</f>
        <v/>
      </c>
      <c r="M25">
        <f t="shared" si="0"/>
        <v>0</v>
      </c>
      <c r="N25" t="e">
        <f t="shared" si="1"/>
        <v>#VALUE!</v>
      </c>
      <c r="O25" t="str">
        <f>IFERROR(VLOOKUP(#REF!, erp_leave!$A:$D, 2, FALSE), "")</f>
        <v/>
      </c>
      <c r="P25">
        <f t="shared" si="2"/>
        <v>0</v>
      </c>
    </row>
    <row r="26" spans="1:16">
      <c r="A26" s="5" t="str">
        <f>biometric!A26</f>
        <v>GCU030009</v>
      </c>
      <c r="B26" s="5" t="str">
        <f>biometric!B26</f>
        <v>Rupa Das</v>
      </c>
      <c r="C26" s="5" t="str">
        <f>biometric!C26</f>
        <v>Non Teaching</v>
      </c>
      <c r="D26" s="5" t="str">
        <f>biometric!D26</f>
        <v>Admin Non Teaching</v>
      </c>
      <c r="E26" s="7">
        <v>20</v>
      </c>
      <c r="F26" s="7"/>
      <c r="G26" t="str">
        <f>IFERROR(VLOOKUP(#REF!,#REF!, 6, FALSE), "")</f>
        <v/>
      </c>
      <c r="H26" t="str">
        <f>IFERROR(VLOOKUP(#REF!,#REF!, 7, FALSE), "")</f>
        <v/>
      </c>
      <c r="I26" t="str">
        <f>IFERROR(VLOOKUP(#REF!,#REF!, 14, FALSE), "")</f>
        <v/>
      </c>
      <c r="J26" t="str">
        <f>IFERROR(VLOOKUP(#REF!,#REF!, 2, FALSE), "")</f>
        <v/>
      </c>
      <c r="K26" t="str">
        <f>IFERROR(VLOOKUP(#REF!,#REF!, 3, FALSE), "")</f>
        <v/>
      </c>
      <c r="L26" t="str">
        <f>IFERROR(VLOOKUP(#REF!,#REF!, 4, FALSE), "")</f>
        <v/>
      </c>
      <c r="M26">
        <f t="shared" si="0"/>
        <v>0</v>
      </c>
      <c r="N26" t="e">
        <f t="shared" si="1"/>
        <v>#VALUE!</v>
      </c>
      <c r="O26" t="str">
        <f>IFERROR(VLOOKUP(#REF!, erp_leave!$A:$D, 2, FALSE), "")</f>
        <v/>
      </c>
      <c r="P26">
        <f t="shared" si="2"/>
        <v>0</v>
      </c>
    </row>
    <row r="27" spans="1:16">
      <c r="A27" s="5" t="str">
        <f>biometric!A27</f>
        <v>GCU030010</v>
      </c>
      <c r="B27" s="5" t="str">
        <f>biometric!B27</f>
        <v>Nabami Das Baruah</v>
      </c>
      <c r="C27" s="5" t="str">
        <f>biometric!C27</f>
        <v>Non Teaching</v>
      </c>
      <c r="D27" s="5" t="str">
        <f>biometric!D27</f>
        <v>Admin Non Teaching</v>
      </c>
      <c r="E27" s="7">
        <v>20</v>
      </c>
      <c r="F27" s="7"/>
      <c r="G27" t="str">
        <f>IFERROR(VLOOKUP(#REF!,#REF!, 6, FALSE), "")</f>
        <v/>
      </c>
      <c r="H27" t="str">
        <f>IFERROR(VLOOKUP(#REF!,#REF!, 7, FALSE), "")</f>
        <v/>
      </c>
      <c r="I27" t="str">
        <f>IFERROR(VLOOKUP(#REF!,#REF!, 14, FALSE), "")</f>
        <v/>
      </c>
      <c r="J27" t="str">
        <f>IFERROR(VLOOKUP(#REF!,#REF!, 2, FALSE), "")</f>
        <v/>
      </c>
      <c r="K27" t="str">
        <f>IFERROR(VLOOKUP(#REF!,#REF!, 3, FALSE), "")</f>
        <v/>
      </c>
      <c r="L27" t="str">
        <f>IFERROR(VLOOKUP(#REF!,#REF!, 4, FALSE), "")</f>
        <v/>
      </c>
      <c r="M27">
        <f t="shared" si="0"/>
        <v>0</v>
      </c>
      <c r="N27" t="e">
        <f t="shared" si="1"/>
        <v>#VALUE!</v>
      </c>
      <c r="O27" t="str">
        <f>IFERROR(VLOOKUP(#REF!, erp_leave!$A:$D, 2, FALSE), "")</f>
        <v/>
      </c>
      <c r="P27">
        <f t="shared" si="2"/>
        <v>0</v>
      </c>
    </row>
    <row r="28" spans="1:16">
      <c r="A28" s="5" t="str">
        <f>biometric!A28</f>
        <v>GCU030011</v>
      </c>
      <c r="B28" s="5" t="str">
        <f>biometric!B28</f>
        <v>Nitul Das</v>
      </c>
      <c r="C28" s="5" t="str">
        <f>biometric!C28</f>
        <v>Non Teaching</v>
      </c>
      <c r="D28" s="5" t="str">
        <f>biometric!D28</f>
        <v>Admin Non Teaching</v>
      </c>
      <c r="E28" s="7">
        <v>20</v>
      </c>
      <c r="F28" s="7"/>
      <c r="G28" t="str">
        <f>IFERROR(VLOOKUP(#REF!,#REF!, 6, FALSE), "")</f>
        <v/>
      </c>
      <c r="H28" t="str">
        <f>IFERROR(VLOOKUP(#REF!,#REF!, 7, FALSE), "")</f>
        <v/>
      </c>
      <c r="I28" t="str">
        <f>IFERROR(VLOOKUP(#REF!,#REF!, 14, FALSE), "")</f>
        <v/>
      </c>
      <c r="J28" t="str">
        <f>IFERROR(VLOOKUP(#REF!,#REF!, 2, FALSE), "")</f>
        <v/>
      </c>
      <c r="K28" t="str">
        <f>IFERROR(VLOOKUP(#REF!,#REF!, 3, FALSE), "")</f>
        <v/>
      </c>
      <c r="L28" t="str">
        <f>IFERROR(VLOOKUP(#REF!,#REF!, 4, FALSE), "")</f>
        <v/>
      </c>
      <c r="M28">
        <f t="shared" si="0"/>
        <v>0</v>
      </c>
      <c r="N28" t="e">
        <f t="shared" si="1"/>
        <v>#VALUE!</v>
      </c>
      <c r="O28" t="str">
        <f>IFERROR(VLOOKUP(#REF!, erp_leave!$A:$D, 2, FALSE), "")</f>
        <v/>
      </c>
      <c r="P28">
        <f t="shared" si="2"/>
        <v>0</v>
      </c>
    </row>
    <row r="29" spans="1:16">
      <c r="A29" s="5" t="str">
        <f>biometric!A29</f>
        <v>GCU030012</v>
      </c>
      <c r="B29" s="5" t="str">
        <f>biometric!B29</f>
        <v>Saraswati Das Patowary</v>
      </c>
      <c r="C29" s="5" t="str">
        <f>biometric!C29</f>
        <v>Non Teaching</v>
      </c>
      <c r="D29" s="5" t="str">
        <f>biometric!D29</f>
        <v>Admin Non Teaching</v>
      </c>
      <c r="E29" s="7">
        <v>20</v>
      </c>
      <c r="F29" s="7"/>
      <c r="G29" t="str">
        <f>IFERROR(VLOOKUP(#REF!,#REF!, 6, FALSE), "")</f>
        <v/>
      </c>
      <c r="H29" t="str">
        <f>IFERROR(VLOOKUP(#REF!,#REF!, 7, FALSE), "")</f>
        <v/>
      </c>
      <c r="I29" t="str">
        <f>IFERROR(VLOOKUP(#REF!,#REF!, 14, FALSE), "")</f>
        <v/>
      </c>
      <c r="J29" t="str">
        <f>IFERROR(VLOOKUP(#REF!,#REF!, 2, FALSE), "")</f>
        <v/>
      </c>
      <c r="K29" t="str">
        <f>IFERROR(VLOOKUP(#REF!,#REF!, 3, FALSE), "")</f>
        <v/>
      </c>
      <c r="L29" t="str">
        <f>IFERROR(VLOOKUP(#REF!,#REF!, 4, FALSE), "")</f>
        <v/>
      </c>
      <c r="M29">
        <f t="shared" si="0"/>
        <v>0</v>
      </c>
      <c r="N29" t="e">
        <f t="shared" si="1"/>
        <v>#VALUE!</v>
      </c>
      <c r="O29" t="str">
        <f>IFERROR(VLOOKUP(#REF!, erp_leave!$A:$D, 2, FALSE), "")</f>
        <v/>
      </c>
      <c r="P29">
        <f t="shared" si="2"/>
        <v>0</v>
      </c>
    </row>
    <row r="30" spans="1:16">
      <c r="A30" s="5" t="str">
        <f>biometric!A30</f>
        <v>GCU030013</v>
      </c>
      <c r="B30" s="5" t="str">
        <f>biometric!B30</f>
        <v>Jiban Kalita</v>
      </c>
      <c r="C30" s="5" t="str">
        <f>biometric!C30</f>
        <v>Driver</v>
      </c>
      <c r="D30" s="5" t="str">
        <f>biometric!D30</f>
        <v>Admin Non Teaching</v>
      </c>
      <c r="E30" s="7">
        <v>20</v>
      </c>
      <c r="F30" s="7"/>
      <c r="G30" t="str">
        <f>IFERROR(VLOOKUP(#REF!,#REF!, 6, FALSE), "")</f>
        <v/>
      </c>
      <c r="H30" t="str">
        <f>IFERROR(VLOOKUP(#REF!,#REF!, 7, FALSE), "")</f>
        <v/>
      </c>
      <c r="I30" t="str">
        <f>IFERROR(VLOOKUP(#REF!,#REF!, 14, FALSE), "")</f>
        <v/>
      </c>
      <c r="J30" t="str">
        <f>IFERROR(VLOOKUP(#REF!,#REF!, 2, FALSE), "")</f>
        <v/>
      </c>
      <c r="K30" t="str">
        <f>IFERROR(VLOOKUP(#REF!,#REF!, 3, FALSE), "")</f>
        <v/>
      </c>
      <c r="L30" t="str">
        <f>IFERROR(VLOOKUP(#REF!,#REF!, 4, FALSE), "")</f>
        <v/>
      </c>
      <c r="M30">
        <f t="shared" si="0"/>
        <v>0</v>
      </c>
      <c r="N30" t="e">
        <f t="shared" si="1"/>
        <v>#VALUE!</v>
      </c>
      <c r="O30" t="str">
        <f>IFERROR(VLOOKUP(#REF!, erp_leave!$A:$D, 2, FALSE), "")</f>
        <v/>
      </c>
      <c r="P30">
        <f t="shared" si="2"/>
        <v>0</v>
      </c>
    </row>
    <row r="31" spans="1:16">
      <c r="A31" s="5" t="str">
        <f>biometric!A31</f>
        <v>GCU030015</v>
      </c>
      <c r="B31" s="5" t="str">
        <f>biometric!B31</f>
        <v>Soneswar Kalita</v>
      </c>
      <c r="C31" s="5" t="str">
        <f>biometric!C31</f>
        <v>Non Teaching</v>
      </c>
      <c r="D31" s="5" t="str">
        <f>biometric!D31</f>
        <v>Admin Non Teaching</v>
      </c>
      <c r="E31" s="7">
        <v>20</v>
      </c>
      <c r="F31" s="7"/>
      <c r="G31" t="str">
        <f>IFERROR(VLOOKUP(#REF!,#REF!, 6, FALSE), "")</f>
        <v/>
      </c>
      <c r="H31" t="str">
        <f>IFERROR(VLOOKUP(#REF!,#REF!, 7, FALSE), "")</f>
        <v/>
      </c>
      <c r="I31" t="str">
        <f>IFERROR(VLOOKUP(#REF!,#REF!, 14, FALSE), "")</f>
        <v/>
      </c>
      <c r="J31" t="str">
        <f>IFERROR(VLOOKUP(#REF!,#REF!, 2, FALSE), "")</f>
        <v/>
      </c>
      <c r="K31" t="str">
        <f>IFERROR(VLOOKUP(#REF!,#REF!, 3, FALSE), "")</f>
        <v/>
      </c>
      <c r="L31" t="str">
        <f>IFERROR(VLOOKUP(#REF!,#REF!, 4, FALSE), "")</f>
        <v/>
      </c>
      <c r="M31">
        <f t="shared" si="0"/>
        <v>0</v>
      </c>
      <c r="N31" t="e">
        <f t="shared" si="1"/>
        <v>#VALUE!</v>
      </c>
      <c r="O31" t="str">
        <f>IFERROR(VLOOKUP(#REF!, erp_leave!$A:$D, 2, FALSE), "")</f>
        <v/>
      </c>
      <c r="P31">
        <f t="shared" si="2"/>
        <v>0</v>
      </c>
    </row>
    <row r="32" spans="1:16">
      <c r="A32" s="5" t="str">
        <f>biometric!A32</f>
        <v>GCU030016</v>
      </c>
      <c r="B32" s="5" t="str">
        <f>biometric!B32</f>
        <v>Bijuli Das</v>
      </c>
      <c r="C32" s="5" t="str">
        <f>biometric!C32</f>
        <v>Cleaner</v>
      </c>
      <c r="D32" s="5" t="str">
        <f>biometric!D32</f>
        <v>Admin Non Teaching</v>
      </c>
      <c r="E32" s="7">
        <v>20</v>
      </c>
      <c r="F32" s="7"/>
      <c r="G32" t="str">
        <f>IFERROR(VLOOKUP(#REF!,#REF!, 6, FALSE), "")</f>
        <v/>
      </c>
      <c r="H32" t="str">
        <f>IFERROR(VLOOKUP(#REF!,#REF!, 7, FALSE), "")</f>
        <v/>
      </c>
      <c r="I32" t="str">
        <f>IFERROR(VLOOKUP(#REF!,#REF!, 14, FALSE), "")</f>
        <v/>
      </c>
      <c r="J32" t="str">
        <f>IFERROR(VLOOKUP(#REF!,#REF!, 2, FALSE), "")</f>
        <v/>
      </c>
      <c r="K32" t="str">
        <f>IFERROR(VLOOKUP(#REF!,#REF!, 3, FALSE), "")</f>
        <v/>
      </c>
      <c r="L32" t="str">
        <f>IFERROR(VLOOKUP(#REF!,#REF!, 4, FALSE), "")</f>
        <v/>
      </c>
      <c r="M32">
        <f t="shared" si="0"/>
        <v>0</v>
      </c>
      <c r="N32" t="e">
        <f t="shared" si="1"/>
        <v>#VALUE!</v>
      </c>
      <c r="O32" t="str">
        <f>IFERROR(VLOOKUP(#REF!, erp_leave!$A:$D, 2, FALSE), "")</f>
        <v/>
      </c>
      <c r="P32">
        <f t="shared" si="2"/>
        <v>0</v>
      </c>
    </row>
    <row r="33" spans="1:16" s="3" customFormat="1">
      <c r="A33" s="5" t="str">
        <f>biometric!A33</f>
        <v>GCU030017</v>
      </c>
      <c r="B33" s="5" t="str">
        <f>biometric!B33</f>
        <v>Hanif Ali</v>
      </c>
      <c r="C33" s="5" t="str">
        <f>biometric!C33</f>
        <v>Security Guard</v>
      </c>
      <c r="D33" s="5" t="str">
        <f>biometric!D33</f>
        <v>Admin Non Teaching</v>
      </c>
      <c r="E33" s="7">
        <v>20</v>
      </c>
      <c r="F33" s="7"/>
      <c r="G33" s="3" t="str">
        <f>IFERROR(VLOOKUP(#REF!,#REF!, 6, FALSE), "")</f>
        <v/>
      </c>
      <c r="H33" s="3" t="str">
        <f>IFERROR(VLOOKUP(#REF!,#REF!, 7, FALSE), "")</f>
        <v/>
      </c>
      <c r="I33" s="3" t="str">
        <f>IFERROR(VLOOKUP(#REF!,#REF!, 14, FALSE), "")</f>
        <v/>
      </c>
      <c r="J33" s="3" t="str">
        <f>IFERROR(VLOOKUP(#REF!,#REF!, 2, FALSE), "")</f>
        <v/>
      </c>
      <c r="K33" s="3" t="str">
        <f>IFERROR(VLOOKUP(#REF!,#REF!, 3, FALSE), "")</f>
        <v/>
      </c>
      <c r="L33" s="3" t="str">
        <f>IFERROR(VLOOKUP(#REF!,#REF!, 4, FALSE), "")</f>
        <v/>
      </c>
      <c r="M33" s="3">
        <f t="shared" si="0"/>
        <v>0</v>
      </c>
      <c r="N33" s="3" t="e">
        <f t="shared" si="1"/>
        <v>#VALUE!</v>
      </c>
      <c r="O33" s="3" t="str">
        <f>IFERROR(VLOOKUP(#REF!, erp_leave!$A:$D, 2, FALSE), "")</f>
        <v/>
      </c>
      <c r="P33" s="3">
        <f t="shared" si="2"/>
        <v>0</v>
      </c>
    </row>
    <row r="34" spans="1:16">
      <c r="A34" s="5" t="str">
        <f>biometric!A34</f>
        <v>GCU030019</v>
      </c>
      <c r="B34" s="5" t="str">
        <f>biometric!B34</f>
        <v>Gitanjali Das</v>
      </c>
      <c r="C34" s="5" t="str">
        <f>biometric!C34</f>
        <v>Cleaner</v>
      </c>
      <c r="D34" s="5" t="str">
        <f>biometric!D34</f>
        <v>Admin Non Teaching</v>
      </c>
      <c r="E34" s="7">
        <v>20</v>
      </c>
      <c r="F34" s="7"/>
      <c r="G34" t="str">
        <f>IFERROR(VLOOKUP(#REF!,#REF!, 6, FALSE), "")</f>
        <v/>
      </c>
      <c r="H34" t="str">
        <f>IFERROR(VLOOKUP(#REF!,#REF!, 7, FALSE), "")</f>
        <v/>
      </c>
      <c r="I34" t="str">
        <f>IFERROR(VLOOKUP(#REF!,#REF!, 14, FALSE), "")</f>
        <v/>
      </c>
      <c r="J34" t="str">
        <f>IFERROR(VLOOKUP(#REF!,#REF!, 2, FALSE), "")</f>
        <v/>
      </c>
      <c r="K34" t="str">
        <f>IFERROR(VLOOKUP(#REF!,#REF!, 3, FALSE), "")</f>
        <v/>
      </c>
      <c r="L34" t="str">
        <f>IFERROR(VLOOKUP(#REF!,#REF!, 4, FALSE), "")</f>
        <v/>
      </c>
      <c r="M34">
        <f t="shared" si="0"/>
        <v>0</v>
      </c>
      <c r="N34" t="e">
        <f t="shared" si="1"/>
        <v>#VALUE!</v>
      </c>
      <c r="O34" t="str">
        <f>IFERROR(VLOOKUP(#REF!, erp_leave!$A:$D, 2, FALSE), "")</f>
        <v/>
      </c>
      <c r="P34">
        <f t="shared" si="2"/>
        <v>0</v>
      </c>
    </row>
    <row r="35" spans="1:16">
      <c r="A35" s="5" t="str">
        <f>biometric!A35</f>
        <v>GCU030020</v>
      </c>
      <c r="B35" s="5" t="str">
        <f>biometric!B35</f>
        <v>Julo Bibi</v>
      </c>
      <c r="C35" s="5" t="str">
        <f>biometric!C35</f>
        <v>Cleaner</v>
      </c>
      <c r="D35" s="5" t="str">
        <f>biometric!D35</f>
        <v>Admin Non Teaching</v>
      </c>
      <c r="E35" s="7">
        <v>20</v>
      </c>
      <c r="F35" s="7"/>
      <c r="G35" t="str">
        <f>IFERROR(VLOOKUP(#REF!,#REF!, 6, FALSE), "")</f>
        <v/>
      </c>
      <c r="H35" t="str">
        <f>IFERROR(VLOOKUP(#REF!,#REF!, 7, FALSE), "")</f>
        <v/>
      </c>
      <c r="I35" t="str">
        <f>IFERROR(VLOOKUP(#REF!,#REF!, 14, FALSE), "")</f>
        <v/>
      </c>
      <c r="J35" t="str">
        <f>IFERROR(VLOOKUP(#REF!,#REF!, 2, FALSE), "")</f>
        <v/>
      </c>
      <c r="K35" t="str">
        <f>IFERROR(VLOOKUP(#REF!,#REF!, 3, FALSE), "")</f>
        <v/>
      </c>
      <c r="L35" t="str">
        <f>IFERROR(VLOOKUP(#REF!,#REF!, 4, FALSE), "")</f>
        <v/>
      </c>
      <c r="M35">
        <f t="shared" si="0"/>
        <v>0</v>
      </c>
      <c r="N35" t="e">
        <f t="shared" si="1"/>
        <v>#VALUE!</v>
      </c>
      <c r="O35" t="str">
        <f>IFERROR(VLOOKUP(#REF!, erp_leave!$A:$D, 2, FALSE), "")</f>
        <v/>
      </c>
      <c r="P35">
        <f t="shared" si="2"/>
        <v>0</v>
      </c>
    </row>
    <row r="36" spans="1:16">
      <c r="A36" s="5" t="str">
        <f>biometric!A36</f>
        <v>GCU030021</v>
      </c>
      <c r="B36" s="5" t="str">
        <f>biometric!B36</f>
        <v>Rahijan Bibi</v>
      </c>
      <c r="C36" s="5" t="str">
        <f>biometric!C36</f>
        <v>Cleaner</v>
      </c>
      <c r="D36" s="5" t="str">
        <f>biometric!D36</f>
        <v>Admin Non Teaching</v>
      </c>
      <c r="E36" s="7">
        <v>20</v>
      </c>
      <c r="F36" s="7"/>
      <c r="G36" t="str">
        <f>IFERROR(VLOOKUP(#REF!,#REF!, 6, FALSE), "")</f>
        <v/>
      </c>
      <c r="H36" t="str">
        <f>IFERROR(VLOOKUP(#REF!,#REF!, 7, FALSE), "")</f>
        <v/>
      </c>
      <c r="I36" t="str">
        <f>IFERROR(VLOOKUP(#REF!,#REF!, 14, FALSE), "")</f>
        <v/>
      </c>
      <c r="J36" t="str">
        <f>IFERROR(VLOOKUP(#REF!,#REF!, 2, FALSE), "")</f>
        <v/>
      </c>
      <c r="K36" t="str">
        <f>IFERROR(VLOOKUP(#REF!,#REF!, 3, FALSE), "")</f>
        <v/>
      </c>
      <c r="L36" t="str">
        <f>IFERROR(VLOOKUP(#REF!,#REF!, 4, FALSE), "")</f>
        <v/>
      </c>
      <c r="M36">
        <f t="shared" si="0"/>
        <v>0</v>
      </c>
      <c r="N36" t="e">
        <f t="shared" si="1"/>
        <v>#VALUE!</v>
      </c>
      <c r="O36" t="str">
        <f>IFERROR(VLOOKUP(#REF!, erp_leave!$A:$D, 2, FALSE), "")</f>
        <v/>
      </c>
      <c r="P36">
        <f t="shared" si="2"/>
        <v>0</v>
      </c>
    </row>
    <row r="37" spans="1:16">
      <c r="A37" s="5" t="str">
        <f>biometric!A37</f>
        <v>GCU030022</v>
      </c>
      <c r="B37" s="5" t="str">
        <f>biometric!B37</f>
        <v>Runu Das</v>
      </c>
      <c r="C37" s="5" t="str">
        <f>biometric!C37</f>
        <v>Cleaner</v>
      </c>
      <c r="D37" s="5" t="str">
        <f>biometric!D37</f>
        <v>Admin Non Teaching</v>
      </c>
      <c r="E37" s="7">
        <v>20</v>
      </c>
      <c r="F37" s="7"/>
      <c r="G37" t="str">
        <f>IFERROR(VLOOKUP(#REF!,#REF!, 6, FALSE), "")</f>
        <v/>
      </c>
      <c r="H37" t="str">
        <f>IFERROR(VLOOKUP(#REF!,#REF!, 7, FALSE), "")</f>
        <v/>
      </c>
      <c r="I37" t="str">
        <f>IFERROR(VLOOKUP(#REF!,#REF!, 14, FALSE), "")</f>
        <v/>
      </c>
      <c r="J37" t="str">
        <f>IFERROR(VLOOKUP(#REF!,#REF!, 2, FALSE), "")</f>
        <v/>
      </c>
      <c r="K37" t="str">
        <f>IFERROR(VLOOKUP(#REF!,#REF!, 3, FALSE), "")</f>
        <v/>
      </c>
      <c r="L37" t="str">
        <f>IFERROR(VLOOKUP(#REF!,#REF!, 4, FALSE), "")</f>
        <v/>
      </c>
      <c r="M37">
        <f t="shared" si="0"/>
        <v>0</v>
      </c>
      <c r="N37" t="e">
        <f t="shared" si="1"/>
        <v>#VALUE!</v>
      </c>
      <c r="O37" t="str">
        <f>IFERROR(VLOOKUP(#REF!, erp_leave!$A:$D, 2, FALSE), "")</f>
        <v/>
      </c>
      <c r="P37">
        <f t="shared" si="2"/>
        <v>0</v>
      </c>
    </row>
    <row r="38" spans="1:16">
      <c r="A38" s="5" t="str">
        <f>biometric!A38</f>
        <v>GCU030023</v>
      </c>
      <c r="B38" s="5" t="str">
        <f>biometric!B38</f>
        <v>Tahik Ali</v>
      </c>
      <c r="C38" s="5" t="str">
        <f>biometric!C38</f>
        <v>Security Guard</v>
      </c>
      <c r="D38" s="5" t="str">
        <f>biometric!D38</f>
        <v>Admin Non Teaching</v>
      </c>
      <c r="E38" s="7">
        <v>20</v>
      </c>
      <c r="F38" s="7"/>
      <c r="G38" t="str">
        <f>IFERROR(VLOOKUP(#REF!,#REF!, 6, FALSE), "")</f>
        <v/>
      </c>
      <c r="H38" t="str">
        <f>IFERROR(VLOOKUP(#REF!,#REF!, 7, FALSE), "")</f>
        <v/>
      </c>
      <c r="I38" t="str">
        <f>IFERROR(VLOOKUP(#REF!,#REF!, 14, FALSE), "")</f>
        <v/>
      </c>
      <c r="J38" t="str">
        <f>IFERROR(VLOOKUP(#REF!,#REF!, 2, FALSE), "")</f>
        <v/>
      </c>
      <c r="K38" t="str">
        <f>IFERROR(VLOOKUP(#REF!,#REF!, 3, FALSE), "")</f>
        <v/>
      </c>
      <c r="L38" t="str">
        <f>IFERROR(VLOOKUP(#REF!,#REF!, 4, FALSE), "")</f>
        <v/>
      </c>
      <c r="M38">
        <f t="shared" si="0"/>
        <v>0</v>
      </c>
      <c r="N38" t="e">
        <f t="shared" si="1"/>
        <v>#VALUE!</v>
      </c>
      <c r="O38" t="str">
        <f>IFERROR(VLOOKUP(#REF!, erp_leave!$A:$D, 2, FALSE), "")</f>
        <v/>
      </c>
      <c r="P38">
        <f t="shared" si="2"/>
        <v>0</v>
      </c>
    </row>
    <row r="39" spans="1:16">
      <c r="A39" s="5" t="str">
        <f>biometric!A39</f>
        <v>GCU030024</v>
      </c>
      <c r="B39" s="5" t="str">
        <f>biometric!B39</f>
        <v>Kamrup Das</v>
      </c>
      <c r="C39" s="5" t="str">
        <f>biometric!C39</f>
        <v>Security Guard</v>
      </c>
      <c r="D39" s="5" t="str">
        <f>biometric!D39</f>
        <v>Admin Non Teaching</v>
      </c>
      <c r="E39" s="7">
        <v>20</v>
      </c>
      <c r="F39" s="7"/>
      <c r="G39" t="str">
        <f>IFERROR(VLOOKUP(#REF!,#REF!, 6, FALSE), "")</f>
        <v/>
      </c>
      <c r="H39" t="str">
        <f>IFERROR(VLOOKUP(#REF!,#REF!, 7, FALSE), "")</f>
        <v/>
      </c>
      <c r="I39" t="str">
        <f>IFERROR(VLOOKUP(#REF!,#REF!, 14, FALSE), "")</f>
        <v/>
      </c>
      <c r="J39" t="str">
        <f>IFERROR(VLOOKUP(#REF!,#REF!, 2, FALSE), "")</f>
        <v/>
      </c>
      <c r="K39" t="str">
        <f>IFERROR(VLOOKUP(#REF!,#REF!, 3, FALSE), "")</f>
        <v/>
      </c>
      <c r="L39" t="str">
        <f>IFERROR(VLOOKUP(#REF!,#REF!, 4, FALSE), "")</f>
        <v/>
      </c>
      <c r="M39">
        <f t="shared" si="0"/>
        <v>0</v>
      </c>
      <c r="N39" t="e">
        <f t="shared" si="1"/>
        <v>#VALUE!</v>
      </c>
      <c r="O39" t="str">
        <f>IFERROR(VLOOKUP(#REF!, erp_leave!$A:$D, 2, FALSE), "")</f>
        <v/>
      </c>
      <c r="P39">
        <f t="shared" si="2"/>
        <v>0</v>
      </c>
    </row>
    <row r="40" spans="1:16">
      <c r="A40" s="5" t="str">
        <f>biometric!A40</f>
        <v>GCU030025</v>
      </c>
      <c r="B40" s="5" t="str">
        <f>biometric!B40</f>
        <v>Latif Ali</v>
      </c>
      <c r="C40" s="5" t="str">
        <f>biometric!C40</f>
        <v>Driver</v>
      </c>
      <c r="D40" s="5" t="str">
        <f>biometric!D40</f>
        <v>Admin Non Teaching</v>
      </c>
      <c r="E40" s="7">
        <v>20</v>
      </c>
      <c r="F40" s="7"/>
      <c r="G40" t="str">
        <f>IFERROR(VLOOKUP(#REF!,#REF!, 6, FALSE), "")</f>
        <v/>
      </c>
      <c r="H40" t="str">
        <f>IFERROR(VLOOKUP(#REF!,#REF!, 7, FALSE), "")</f>
        <v/>
      </c>
      <c r="I40" t="str">
        <f>IFERROR(VLOOKUP(#REF!,#REF!, 14, FALSE), "")</f>
        <v/>
      </c>
      <c r="J40" t="str">
        <f>IFERROR(VLOOKUP(#REF!,#REF!, 2, FALSE), "")</f>
        <v/>
      </c>
      <c r="K40" t="str">
        <f>IFERROR(VLOOKUP(#REF!,#REF!, 3, FALSE), "")</f>
        <v/>
      </c>
      <c r="L40" t="str">
        <f>IFERROR(VLOOKUP(#REF!,#REF!, 4, FALSE), "")</f>
        <v/>
      </c>
      <c r="M40">
        <f t="shared" si="0"/>
        <v>0</v>
      </c>
      <c r="N40" t="e">
        <f t="shared" si="1"/>
        <v>#VALUE!</v>
      </c>
      <c r="O40" t="str">
        <f>IFERROR(VLOOKUP(#REF!, erp_leave!$A:$D, 2, FALSE), "")</f>
        <v/>
      </c>
      <c r="P40">
        <f t="shared" si="2"/>
        <v>0</v>
      </c>
    </row>
    <row r="41" spans="1:16">
      <c r="A41" s="5" t="str">
        <f>biometric!A41</f>
        <v>GCU030026</v>
      </c>
      <c r="B41" s="5" t="str">
        <f>biometric!B41</f>
        <v>Bikash Singh</v>
      </c>
      <c r="C41" s="5" t="str">
        <f>biometric!C41</f>
        <v>Driver</v>
      </c>
      <c r="D41" s="5" t="str">
        <f>biometric!D41</f>
        <v>Admin Non Teaching</v>
      </c>
      <c r="E41" s="7">
        <v>20</v>
      </c>
      <c r="F41" s="7"/>
      <c r="G41" t="str">
        <f>IFERROR(VLOOKUP(#REF!,#REF!, 6, FALSE), "")</f>
        <v/>
      </c>
      <c r="H41" t="str">
        <f>IFERROR(VLOOKUP(#REF!,#REF!, 7, FALSE), "")</f>
        <v/>
      </c>
      <c r="I41" t="str">
        <f>IFERROR(VLOOKUP(#REF!,#REF!, 14, FALSE), "")</f>
        <v/>
      </c>
      <c r="J41" t="str">
        <f>IFERROR(VLOOKUP(#REF!,#REF!, 2, FALSE), "")</f>
        <v/>
      </c>
      <c r="K41" t="str">
        <f>IFERROR(VLOOKUP(#REF!,#REF!, 3, FALSE), "")</f>
        <v/>
      </c>
      <c r="L41" t="str">
        <f>IFERROR(VLOOKUP(#REF!,#REF!, 4, FALSE), "")</f>
        <v/>
      </c>
      <c r="M41">
        <f t="shared" si="0"/>
        <v>0</v>
      </c>
      <c r="N41" t="e">
        <f t="shared" si="1"/>
        <v>#VALUE!</v>
      </c>
      <c r="O41" t="str">
        <f>IFERROR(VLOOKUP(#REF!, erp_leave!$A:$D, 2, FALSE), "")</f>
        <v/>
      </c>
      <c r="P41">
        <f t="shared" si="2"/>
        <v>0</v>
      </c>
    </row>
    <row r="42" spans="1:16">
      <c r="A42" s="5" t="str">
        <f>biometric!A42</f>
        <v>GCU030027</v>
      </c>
      <c r="B42" s="5" t="str">
        <f>biometric!B42</f>
        <v>Jibeswar Thakuria</v>
      </c>
      <c r="C42" s="5" t="str">
        <f>biometric!C42</f>
        <v>Lab assistant</v>
      </c>
      <c r="D42" s="5" t="str">
        <f>biometric!D42</f>
        <v>Admin Non Teaching</v>
      </c>
      <c r="E42" s="7">
        <v>20</v>
      </c>
      <c r="F42" s="7"/>
      <c r="G42" t="str">
        <f>IFERROR(VLOOKUP(#REF!,#REF!, 6, FALSE), "")</f>
        <v/>
      </c>
      <c r="H42" t="str">
        <f>IFERROR(VLOOKUP(#REF!,#REF!, 7, FALSE), "")</f>
        <v/>
      </c>
      <c r="I42" t="str">
        <f>IFERROR(VLOOKUP(#REF!,#REF!, 14, FALSE), "")</f>
        <v/>
      </c>
      <c r="J42" t="str">
        <f>IFERROR(VLOOKUP(#REF!,#REF!, 2, FALSE), "")</f>
        <v/>
      </c>
      <c r="K42" t="str">
        <f>IFERROR(VLOOKUP(#REF!,#REF!, 3, FALSE), "")</f>
        <v/>
      </c>
      <c r="L42" t="str">
        <f>IFERROR(VLOOKUP(#REF!,#REF!, 4, FALSE), "")</f>
        <v/>
      </c>
      <c r="M42">
        <f t="shared" si="0"/>
        <v>0</v>
      </c>
      <c r="N42" t="e">
        <f t="shared" si="1"/>
        <v>#VALUE!</v>
      </c>
      <c r="O42" t="str">
        <f>IFERROR(VLOOKUP(#REF!, erp_leave!$A:$D, 2, FALSE), "")</f>
        <v/>
      </c>
      <c r="P42">
        <f t="shared" si="2"/>
        <v>0</v>
      </c>
    </row>
    <row r="43" spans="1:16">
      <c r="A43" s="5" t="str">
        <f>biometric!A43</f>
        <v>GCU030028</v>
      </c>
      <c r="B43" s="5" t="str">
        <f>biometric!B43</f>
        <v>Isha Haque Ali</v>
      </c>
      <c r="C43" s="5" t="str">
        <f>biometric!C43</f>
        <v>Lab assistant</v>
      </c>
      <c r="D43" s="5" t="str">
        <f>biometric!D43</f>
        <v>Admin Non Teaching</v>
      </c>
      <c r="E43" s="7">
        <v>20</v>
      </c>
      <c r="F43" s="7"/>
      <c r="G43" t="str">
        <f>IFERROR(VLOOKUP(#REF!,#REF!, 6, FALSE), "")</f>
        <v/>
      </c>
      <c r="H43" t="str">
        <f>IFERROR(VLOOKUP(#REF!,#REF!, 7, FALSE), "")</f>
        <v/>
      </c>
      <c r="I43" t="str">
        <f>IFERROR(VLOOKUP(#REF!,#REF!, 14, FALSE), "")</f>
        <v/>
      </c>
      <c r="J43" t="str">
        <f>IFERROR(VLOOKUP(#REF!,#REF!, 2, FALSE), "")</f>
        <v/>
      </c>
      <c r="K43" t="str">
        <f>IFERROR(VLOOKUP(#REF!,#REF!, 3, FALSE), "")</f>
        <v/>
      </c>
      <c r="L43" t="str">
        <f>IFERROR(VLOOKUP(#REF!,#REF!, 4, FALSE), "")</f>
        <v/>
      </c>
      <c r="M43">
        <f t="shared" si="0"/>
        <v>0</v>
      </c>
      <c r="N43" t="e">
        <f t="shared" si="1"/>
        <v>#VALUE!</v>
      </c>
      <c r="O43" t="str">
        <f>IFERROR(VLOOKUP(#REF!, erp_leave!$A:$D, 2, FALSE), "")</f>
        <v/>
      </c>
      <c r="P43">
        <f t="shared" si="2"/>
        <v>0</v>
      </c>
    </row>
    <row r="44" spans="1:16">
      <c r="A44" s="5" t="str">
        <f>biometric!A44</f>
        <v>GCU030029</v>
      </c>
      <c r="B44" s="5" t="str">
        <f>biometric!B44</f>
        <v>Gita Das</v>
      </c>
      <c r="C44" s="5" t="str">
        <f>biometric!C44</f>
        <v>Cleaner</v>
      </c>
      <c r="D44" s="5" t="str">
        <f>biometric!D44</f>
        <v>Admin Non Teaching</v>
      </c>
      <c r="E44" s="7">
        <v>20</v>
      </c>
      <c r="F44" s="7"/>
      <c r="G44" t="str">
        <f>IFERROR(VLOOKUP(#REF!,#REF!, 6, FALSE), "")</f>
        <v/>
      </c>
      <c r="H44" t="str">
        <f>IFERROR(VLOOKUP(#REF!,#REF!, 7, FALSE), "")</f>
        <v/>
      </c>
      <c r="I44" t="str">
        <f>IFERROR(VLOOKUP(#REF!,#REF!, 14, FALSE), "")</f>
        <v/>
      </c>
      <c r="J44" t="str">
        <f>IFERROR(VLOOKUP(#REF!,#REF!, 2, FALSE), "")</f>
        <v/>
      </c>
      <c r="K44" t="str">
        <f>IFERROR(VLOOKUP(#REF!,#REF!, 3, FALSE), "")</f>
        <v/>
      </c>
      <c r="L44" t="str">
        <f>IFERROR(VLOOKUP(#REF!,#REF!, 4, FALSE), "")</f>
        <v/>
      </c>
      <c r="M44">
        <f t="shared" si="0"/>
        <v>0</v>
      </c>
      <c r="N44" t="e">
        <f t="shared" si="1"/>
        <v>#VALUE!</v>
      </c>
      <c r="O44" t="str">
        <f>IFERROR(VLOOKUP(#REF!, erp_leave!$A:$D, 2, FALSE), "")</f>
        <v/>
      </c>
      <c r="P44">
        <f t="shared" si="2"/>
        <v>0</v>
      </c>
    </row>
    <row r="45" spans="1:16">
      <c r="A45" s="5" t="str">
        <f>biometric!A45</f>
        <v>GCU030030</v>
      </c>
      <c r="B45" s="5" t="str">
        <f>biometric!B45</f>
        <v>Noni Das</v>
      </c>
      <c r="C45" s="5" t="str">
        <f>biometric!C45</f>
        <v>Cleaner</v>
      </c>
      <c r="D45" s="5" t="str">
        <f>biometric!D45</f>
        <v>Admin Non Teaching</v>
      </c>
      <c r="E45" s="7">
        <v>20</v>
      </c>
      <c r="F45" s="7"/>
      <c r="G45" t="str">
        <f>IFERROR(VLOOKUP(#REF!,#REF!, 6, FALSE), "")</f>
        <v/>
      </c>
      <c r="H45" t="str">
        <f>IFERROR(VLOOKUP(#REF!,#REF!, 7, FALSE), "")</f>
        <v/>
      </c>
      <c r="I45" t="str">
        <f>IFERROR(VLOOKUP(#REF!,#REF!, 14, FALSE), "")</f>
        <v/>
      </c>
      <c r="J45" t="str">
        <f>IFERROR(VLOOKUP(#REF!,#REF!, 2, FALSE), "")</f>
        <v/>
      </c>
      <c r="K45" t="str">
        <f>IFERROR(VLOOKUP(#REF!,#REF!, 3, FALSE), "")</f>
        <v/>
      </c>
      <c r="L45" t="str">
        <f>IFERROR(VLOOKUP(#REF!,#REF!, 4, FALSE), "")</f>
        <v/>
      </c>
      <c r="M45">
        <f t="shared" si="0"/>
        <v>0</v>
      </c>
      <c r="N45" t="e">
        <f t="shared" si="1"/>
        <v>#VALUE!</v>
      </c>
      <c r="O45" t="str">
        <f>IFERROR(VLOOKUP(#REF!, erp_leave!$A:$D, 2, FALSE), "")</f>
        <v/>
      </c>
      <c r="P45">
        <f t="shared" si="2"/>
        <v>0</v>
      </c>
    </row>
    <row r="46" spans="1:16">
      <c r="A46" s="5" t="str">
        <f>biometric!A46</f>
        <v>GCU030031</v>
      </c>
      <c r="B46" s="5" t="str">
        <f>biometric!B46</f>
        <v>Tridib Roy</v>
      </c>
      <c r="C46" s="5" t="str">
        <f>biometric!C46</f>
        <v>Non Teaching</v>
      </c>
      <c r="D46" s="5" t="str">
        <f>biometric!D46</f>
        <v>Admin Non Teaching</v>
      </c>
      <c r="E46" s="7">
        <v>20</v>
      </c>
      <c r="F46" s="7"/>
      <c r="G46" t="str">
        <f>IFERROR(VLOOKUP(#REF!,#REF!, 6, FALSE), "")</f>
        <v/>
      </c>
      <c r="H46" t="str">
        <f>IFERROR(VLOOKUP(#REF!,#REF!, 7, FALSE), "")</f>
        <v/>
      </c>
      <c r="I46" t="str">
        <f>IFERROR(VLOOKUP(#REF!,#REF!, 14, FALSE), "")</f>
        <v/>
      </c>
      <c r="J46" t="str">
        <f>IFERROR(VLOOKUP(#REF!,#REF!, 2, FALSE), "")</f>
        <v/>
      </c>
      <c r="K46" t="str">
        <f>IFERROR(VLOOKUP(#REF!,#REF!, 3, FALSE), "")</f>
        <v/>
      </c>
      <c r="L46" t="str">
        <f>IFERROR(VLOOKUP(#REF!,#REF!, 4, FALSE), "")</f>
        <v/>
      </c>
      <c r="M46">
        <f t="shared" si="0"/>
        <v>0</v>
      </c>
      <c r="N46" t="e">
        <f t="shared" si="1"/>
        <v>#VALUE!</v>
      </c>
      <c r="O46" t="str">
        <f>IFERROR(VLOOKUP(#REF!, erp_leave!$A:$D, 2, FALSE), "")</f>
        <v/>
      </c>
      <c r="P46">
        <f t="shared" si="2"/>
        <v>0</v>
      </c>
    </row>
    <row r="47" spans="1:16">
      <c r="A47" s="5" t="str">
        <f>biometric!A47</f>
        <v>GCU030033</v>
      </c>
      <c r="B47" s="5" t="str">
        <f>biometric!B47</f>
        <v>Deepa Das Talukdar</v>
      </c>
      <c r="C47" s="5" t="str">
        <f>biometric!C47</f>
        <v>Non Teaching</v>
      </c>
      <c r="D47" s="5" t="str">
        <f>biometric!D47</f>
        <v>Admin Non Teaching</v>
      </c>
      <c r="E47" s="7">
        <v>20</v>
      </c>
      <c r="F47" s="7"/>
      <c r="G47" t="str">
        <f>IFERROR(VLOOKUP(#REF!,#REF!, 6, FALSE), "")</f>
        <v/>
      </c>
      <c r="H47" t="str">
        <f>IFERROR(VLOOKUP(#REF!,#REF!, 7, FALSE), "")</f>
        <v/>
      </c>
      <c r="I47" t="str">
        <f>IFERROR(VLOOKUP(#REF!,#REF!, 14, FALSE), "")</f>
        <v/>
      </c>
      <c r="J47" t="str">
        <f>IFERROR(VLOOKUP(#REF!,#REF!, 2, FALSE), "")</f>
        <v/>
      </c>
      <c r="K47" t="str">
        <f>IFERROR(VLOOKUP(#REF!,#REF!, 3, FALSE), "")</f>
        <v/>
      </c>
      <c r="L47" t="str">
        <f>IFERROR(VLOOKUP(#REF!,#REF!, 4, FALSE), "")</f>
        <v/>
      </c>
      <c r="M47">
        <f t="shared" si="0"/>
        <v>0</v>
      </c>
      <c r="N47" t="e">
        <f t="shared" si="1"/>
        <v>#VALUE!</v>
      </c>
      <c r="O47" t="str">
        <f>IFERROR(VLOOKUP(#REF!, erp_leave!$A:$D, 2, FALSE), "")</f>
        <v/>
      </c>
      <c r="P47">
        <f t="shared" si="2"/>
        <v>0</v>
      </c>
    </row>
    <row r="48" spans="1:16">
      <c r="A48" s="5" t="str">
        <f>biometric!A48</f>
        <v>GCU030035</v>
      </c>
      <c r="B48" s="5" t="str">
        <f>biometric!B48</f>
        <v>Ritu Raj Phukan</v>
      </c>
      <c r="C48" s="5" t="str">
        <f>biometric!C48</f>
        <v>Lab Instructor</v>
      </c>
      <c r="D48" s="5" t="str">
        <f>biometric!D48</f>
        <v>Admin Non Teaching</v>
      </c>
      <c r="E48" s="7">
        <v>20</v>
      </c>
      <c r="F48" s="7"/>
      <c r="G48" t="str">
        <f>IFERROR(VLOOKUP(#REF!,#REF!, 6, FALSE), "")</f>
        <v/>
      </c>
      <c r="H48" t="str">
        <f>IFERROR(VLOOKUP(#REF!,#REF!, 7, FALSE), "")</f>
        <v/>
      </c>
      <c r="I48" t="str">
        <f>IFERROR(VLOOKUP(#REF!,#REF!, 14, FALSE), "")</f>
        <v/>
      </c>
      <c r="J48" t="str">
        <f>IFERROR(VLOOKUP(#REF!,#REF!, 2, FALSE), "")</f>
        <v/>
      </c>
      <c r="K48" t="str">
        <f>IFERROR(VLOOKUP(#REF!,#REF!, 3, FALSE), "")</f>
        <v/>
      </c>
      <c r="L48" t="str">
        <f>IFERROR(VLOOKUP(#REF!,#REF!, 4, FALSE), "")</f>
        <v/>
      </c>
      <c r="M48">
        <f t="shared" si="0"/>
        <v>0</v>
      </c>
      <c r="N48" t="e">
        <f t="shared" si="1"/>
        <v>#VALUE!</v>
      </c>
      <c r="O48" t="str">
        <f>IFERROR(VLOOKUP(#REF!, erp_leave!$A:$D, 2, FALSE), "")</f>
        <v/>
      </c>
      <c r="P48">
        <f t="shared" si="2"/>
        <v>0</v>
      </c>
    </row>
    <row r="49" spans="1:16">
      <c r="A49" s="5" t="str">
        <f>biometric!A49</f>
        <v>GCU030036</v>
      </c>
      <c r="B49" s="5" t="str">
        <f>biometric!B49</f>
        <v>Amrit Talukdar</v>
      </c>
      <c r="C49" s="5" t="str">
        <f>biometric!C49</f>
        <v>Non Teaching</v>
      </c>
      <c r="D49" s="5" t="str">
        <f>biometric!D49</f>
        <v>Admin Non Teaching</v>
      </c>
      <c r="E49" s="7">
        <v>20</v>
      </c>
      <c r="F49" s="7"/>
      <c r="G49" t="str">
        <f>IFERROR(VLOOKUP(#REF!,#REF!, 6, FALSE), "")</f>
        <v/>
      </c>
      <c r="H49" t="str">
        <f>IFERROR(VLOOKUP(#REF!,#REF!, 7, FALSE), "")</f>
        <v/>
      </c>
      <c r="I49" t="str">
        <f>IFERROR(VLOOKUP(#REF!,#REF!, 14, FALSE), "")</f>
        <v/>
      </c>
      <c r="J49" t="str">
        <f>IFERROR(VLOOKUP(#REF!,#REF!, 2, FALSE), "")</f>
        <v/>
      </c>
      <c r="K49" t="str">
        <f>IFERROR(VLOOKUP(#REF!,#REF!, 3, FALSE), "")</f>
        <v/>
      </c>
      <c r="L49" t="str">
        <f>IFERROR(VLOOKUP(#REF!,#REF!, 4, FALSE), "")</f>
        <v/>
      </c>
      <c r="M49">
        <f t="shared" si="0"/>
        <v>0</v>
      </c>
      <c r="N49" t="e">
        <f t="shared" si="1"/>
        <v>#VALUE!</v>
      </c>
      <c r="O49" t="str">
        <f>IFERROR(VLOOKUP(#REF!, erp_leave!$A:$D, 2, FALSE), "")</f>
        <v/>
      </c>
      <c r="P49">
        <f t="shared" si="2"/>
        <v>0</v>
      </c>
    </row>
    <row r="50" spans="1:16">
      <c r="A50" s="5" t="str">
        <f>biometric!A50</f>
        <v>GCU030038</v>
      </c>
      <c r="B50" s="5" t="str">
        <f>biometric!B50</f>
        <v>Sajida Bibi</v>
      </c>
      <c r="C50" s="5" t="str">
        <f>biometric!C50</f>
        <v>Cleaner</v>
      </c>
      <c r="D50" s="5" t="str">
        <f>biometric!D50</f>
        <v>Admin Non Teaching</v>
      </c>
      <c r="E50" s="7">
        <v>20</v>
      </c>
      <c r="F50" s="7"/>
      <c r="G50" t="str">
        <f>IFERROR(VLOOKUP(#REF!,#REF!, 6, FALSE), "")</f>
        <v/>
      </c>
      <c r="H50" t="str">
        <f>IFERROR(VLOOKUP(#REF!,#REF!, 7, FALSE), "")</f>
        <v/>
      </c>
      <c r="I50" t="str">
        <f>IFERROR(VLOOKUP(#REF!,#REF!, 14, FALSE), "")</f>
        <v/>
      </c>
      <c r="J50" t="str">
        <f>IFERROR(VLOOKUP(#REF!,#REF!, 2, FALSE), "")</f>
        <v/>
      </c>
      <c r="K50" t="str">
        <f>IFERROR(VLOOKUP(#REF!,#REF!, 3, FALSE), "")</f>
        <v/>
      </c>
      <c r="L50" t="str">
        <f>IFERROR(VLOOKUP(#REF!,#REF!, 4, FALSE), "")</f>
        <v/>
      </c>
      <c r="M50">
        <f t="shared" si="0"/>
        <v>0</v>
      </c>
      <c r="N50" t="e">
        <f t="shared" si="1"/>
        <v>#VALUE!</v>
      </c>
      <c r="O50" t="str">
        <f>IFERROR(VLOOKUP(#REF!, erp_leave!$A:$D, 2, FALSE), "")</f>
        <v/>
      </c>
      <c r="P50">
        <f t="shared" si="2"/>
        <v>0</v>
      </c>
    </row>
    <row r="51" spans="1:16">
      <c r="A51" s="5" t="str">
        <f>biometric!A51</f>
        <v>GCU030039</v>
      </c>
      <c r="B51" s="5" t="str">
        <f>biometric!B51</f>
        <v>Merina Bibi</v>
      </c>
      <c r="C51" s="5" t="str">
        <f>biometric!C51</f>
        <v>Cleaner</v>
      </c>
      <c r="D51" s="5" t="str">
        <f>biometric!D51</f>
        <v>Admin Non Teaching</v>
      </c>
      <c r="E51" s="7">
        <v>20</v>
      </c>
      <c r="F51" s="7"/>
      <c r="G51" t="str">
        <f>IFERROR(VLOOKUP(#REF!,#REF!, 6, FALSE), "")</f>
        <v/>
      </c>
      <c r="H51" t="str">
        <f>IFERROR(VLOOKUP(#REF!,#REF!, 7, FALSE), "")</f>
        <v/>
      </c>
      <c r="I51" t="str">
        <f>IFERROR(VLOOKUP(#REF!,#REF!, 14, FALSE), "")</f>
        <v/>
      </c>
      <c r="J51" t="str">
        <f>IFERROR(VLOOKUP(#REF!,#REF!, 2, FALSE), "")</f>
        <v/>
      </c>
      <c r="K51" t="str">
        <f>IFERROR(VLOOKUP(#REF!,#REF!, 3, FALSE), "")</f>
        <v/>
      </c>
      <c r="L51" t="str">
        <f>IFERROR(VLOOKUP(#REF!,#REF!, 4, FALSE), "")</f>
        <v/>
      </c>
      <c r="M51">
        <f t="shared" si="0"/>
        <v>0</v>
      </c>
      <c r="N51" t="e">
        <f t="shared" si="1"/>
        <v>#VALUE!</v>
      </c>
      <c r="O51" t="str">
        <f>IFERROR(VLOOKUP(#REF!, erp_leave!$A:$D, 2, FALSE), "")</f>
        <v/>
      </c>
      <c r="P51">
        <f t="shared" si="2"/>
        <v>0</v>
      </c>
    </row>
    <row r="52" spans="1:16">
      <c r="A52" s="5" t="str">
        <f>biometric!A52</f>
        <v>GCU030043</v>
      </c>
      <c r="B52" s="5" t="str">
        <f>biometric!B52</f>
        <v>Mantu Saikia</v>
      </c>
      <c r="C52" s="5" t="str">
        <f>biometric!C52</f>
        <v>Non Teaching</v>
      </c>
      <c r="D52" s="5" t="str">
        <f>biometric!D52</f>
        <v>Admin Non Teaching</v>
      </c>
      <c r="E52" s="7">
        <v>20</v>
      </c>
      <c r="F52" s="7"/>
      <c r="G52" t="str">
        <f>IFERROR(VLOOKUP(#REF!,#REF!, 6, FALSE), "")</f>
        <v/>
      </c>
      <c r="H52" t="str">
        <f>IFERROR(VLOOKUP(#REF!,#REF!, 7, FALSE), "")</f>
        <v/>
      </c>
      <c r="I52" t="str">
        <f>IFERROR(VLOOKUP(#REF!,#REF!, 14, FALSE), "")</f>
        <v/>
      </c>
      <c r="J52" t="str">
        <f>IFERROR(VLOOKUP(#REF!,#REF!, 2, FALSE), "")</f>
        <v/>
      </c>
      <c r="K52" t="str">
        <f>IFERROR(VLOOKUP(#REF!,#REF!, 3, FALSE), "")</f>
        <v/>
      </c>
      <c r="L52" t="str">
        <f>IFERROR(VLOOKUP(#REF!,#REF!, 4, FALSE), "")</f>
        <v/>
      </c>
      <c r="M52">
        <f t="shared" si="0"/>
        <v>0</v>
      </c>
      <c r="N52" t="e">
        <f t="shared" si="1"/>
        <v>#VALUE!</v>
      </c>
      <c r="O52" t="str">
        <f>IFERROR(VLOOKUP(#REF!, erp_leave!$A:$D, 2, FALSE), "")</f>
        <v/>
      </c>
      <c r="P52">
        <f t="shared" si="2"/>
        <v>0</v>
      </c>
    </row>
    <row r="53" spans="1:16">
      <c r="A53" s="5" t="str">
        <f>biometric!A53</f>
        <v>GCU030044</v>
      </c>
      <c r="B53" s="5" t="str">
        <f>biometric!B53</f>
        <v>Jyotish Deka</v>
      </c>
      <c r="C53" s="5" t="str">
        <f>biometric!C53</f>
        <v>Driver</v>
      </c>
      <c r="D53" s="5" t="str">
        <f>biometric!D53</f>
        <v>Admin Non Teaching</v>
      </c>
      <c r="E53" s="7">
        <v>20</v>
      </c>
      <c r="F53" s="7"/>
      <c r="G53" t="str">
        <f>IFERROR(VLOOKUP(#REF!,#REF!, 6, FALSE), "")</f>
        <v/>
      </c>
      <c r="H53" t="str">
        <f>IFERROR(VLOOKUP(#REF!,#REF!, 7, FALSE), "")</f>
        <v/>
      </c>
      <c r="I53" t="str">
        <f>IFERROR(VLOOKUP(#REF!,#REF!, 14, FALSE), "")</f>
        <v/>
      </c>
      <c r="J53" t="str">
        <f>IFERROR(VLOOKUP(#REF!,#REF!, 2, FALSE), "")</f>
        <v/>
      </c>
      <c r="K53" t="str">
        <f>IFERROR(VLOOKUP(#REF!,#REF!, 3, FALSE), "")</f>
        <v/>
      </c>
      <c r="L53" t="str">
        <f>IFERROR(VLOOKUP(#REF!,#REF!, 4, FALSE), "")</f>
        <v/>
      </c>
      <c r="M53">
        <f t="shared" si="0"/>
        <v>0</v>
      </c>
      <c r="N53" t="e">
        <f t="shared" si="1"/>
        <v>#VALUE!</v>
      </c>
      <c r="O53" t="str">
        <f>IFERROR(VLOOKUP(#REF!, erp_leave!$A:$D, 2, FALSE), "")</f>
        <v/>
      </c>
      <c r="P53">
        <f t="shared" si="2"/>
        <v>0</v>
      </c>
    </row>
    <row r="54" spans="1:16">
      <c r="A54" s="5" t="str">
        <f>biometric!A54</f>
        <v>GCU030047</v>
      </c>
      <c r="B54" s="5" t="str">
        <f>biometric!B54</f>
        <v>Juna Begum</v>
      </c>
      <c r="C54" s="5" t="str">
        <f>biometric!C54</f>
        <v>Cleaner</v>
      </c>
      <c r="D54" s="5" t="str">
        <f>biometric!D54</f>
        <v>Admin Non Teaching</v>
      </c>
      <c r="E54" s="7">
        <v>20</v>
      </c>
      <c r="F54" s="7"/>
      <c r="G54" t="str">
        <f>IFERROR(VLOOKUP(#REF!,#REF!, 6, FALSE), "")</f>
        <v/>
      </c>
      <c r="H54" t="str">
        <f>IFERROR(VLOOKUP(#REF!,#REF!, 7, FALSE), "")</f>
        <v/>
      </c>
      <c r="I54" t="str">
        <f>IFERROR(VLOOKUP(#REF!,#REF!, 14, FALSE), "")</f>
        <v/>
      </c>
      <c r="J54" t="str">
        <f>IFERROR(VLOOKUP(#REF!,#REF!, 2, FALSE), "")</f>
        <v/>
      </c>
      <c r="K54" t="str">
        <f>IFERROR(VLOOKUP(#REF!,#REF!, 3, FALSE), "")</f>
        <v/>
      </c>
      <c r="L54" t="str">
        <f>IFERROR(VLOOKUP(#REF!,#REF!, 4, FALSE), "")</f>
        <v/>
      </c>
      <c r="M54">
        <f t="shared" si="0"/>
        <v>0</v>
      </c>
      <c r="N54" t="e">
        <f t="shared" si="1"/>
        <v>#VALUE!</v>
      </c>
      <c r="O54" t="str">
        <f>IFERROR(VLOOKUP(#REF!, erp_leave!$A:$D, 2, FALSE), "")</f>
        <v/>
      </c>
      <c r="P54">
        <f t="shared" si="2"/>
        <v>0</v>
      </c>
    </row>
    <row r="55" spans="1:16">
      <c r="A55" s="5" t="str">
        <f>biometric!A55</f>
        <v>GCU030048</v>
      </c>
      <c r="B55" s="5" t="str">
        <f>biometric!B55</f>
        <v>Sabitri Das</v>
      </c>
      <c r="C55" s="5" t="str">
        <f>biometric!C55</f>
        <v>Cleaner</v>
      </c>
      <c r="D55" s="5" t="str">
        <f>biometric!D55</f>
        <v>Admin Non Teaching</v>
      </c>
      <c r="E55" s="7">
        <v>20</v>
      </c>
      <c r="F55" s="7"/>
      <c r="G55" t="str">
        <f>IFERROR(VLOOKUP(#REF!,#REF!, 6, FALSE), "")</f>
        <v/>
      </c>
      <c r="H55" t="str">
        <f>IFERROR(VLOOKUP(#REF!,#REF!, 7, FALSE), "")</f>
        <v/>
      </c>
      <c r="I55" t="str">
        <f>IFERROR(VLOOKUP(#REF!,#REF!, 14, FALSE), "")</f>
        <v/>
      </c>
      <c r="J55" t="str">
        <f>IFERROR(VLOOKUP(#REF!,#REF!, 2, FALSE), "")</f>
        <v/>
      </c>
      <c r="K55" t="str">
        <f>IFERROR(VLOOKUP(#REF!,#REF!, 3, FALSE), "")</f>
        <v/>
      </c>
      <c r="L55" t="str">
        <f>IFERROR(VLOOKUP(#REF!,#REF!, 4, FALSE), "")</f>
        <v/>
      </c>
      <c r="M55">
        <f t="shared" si="0"/>
        <v>0</v>
      </c>
      <c r="N55" t="e">
        <f t="shared" si="1"/>
        <v>#VALUE!</v>
      </c>
      <c r="O55" t="str">
        <f>IFERROR(VLOOKUP(#REF!, erp_leave!$A:$D, 2, FALSE), "")</f>
        <v/>
      </c>
      <c r="P55">
        <f t="shared" si="2"/>
        <v>0</v>
      </c>
    </row>
    <row r="56" spans="1:16">
      <c r="A56" s="5" t="str">
        <f>biometric!A56</f>
        <v>GCU030050</v>
      </c>
      <c r="B56" s="5" t="str">
        <f>biometric!B56</f>
        <v>Hari Das</v>
      </c>
      <c r="C56" s="5" t="str">
        <f>biometric!C56</f>
        <v>Non Teaching</v>
      </c>
      <c r="D56" s="5" t="str">
        <f>biometric!D56</f>
        <v>Admin Non Teaching</v>
      </c>
      <c r="E56" s="7">
        <v>20</v>
      </c>
      <c r="F56" s="7"/>
      <c r="G56" t="str">
        <f>IFERROR(VLOOKUP(#REF!,#REF!, 6, FALSE), "")</f>
        <v/>
      </c>
      <c r="H56" t="str">
        <f>IFERROR(VLOOKUP(#REF!,#REF!, 7, FALSE), "")</f>
        <v/>
      </c>
      <c r="I56" t="str">
        <f>IFERROR(VLOOKUP(#REF!,#REF!, 14, FALSE), "")</f>
        <v/>
      </c>
      <c r="J56" t="str">
        <f>IFERROR(VLOOKUP(#REF!,#REF!, 2, FALSE), "")</f>
        <v/>
      </c>
      <c r="K56" t="str">
        <f>IFERROR(VLOOKUP(#REF!,#REF!, 3, FALSE), "")</f>
        <v/>
      </c>
      <c r="L56" t="str">
        <f>IFERROR(VLOOKUP(#REF!,#REF!, 4, FALSE), "")</f>
        <v/>
      </c>
      <c r="M56">
        <f t="shared" si="0"/>
        <v>0</v>
      </c>
      <c r="N56" t="e">
        <f t="shared" si="1"/>
        <v>#VALUE!</v>
      </c>
      <c r="O56" t="str">
        <f>IFERROR(VLOOKUP(#REF!, erp_leave!$A:$D, 2, FALSE), "")</f>
        <v/>
      </c>
      <c r="P56">
        <f t="shared" si="2"/>
        <v>0</v>
      </c>
    </row>
    <row r="57" spans="1:16">
      <c r="A57" s="5" t="str">
        <f>biometric!A57</f>
        <v>GCU030051</v>
      </c>
      <c r="B57" s="5" t="str">
        <f>biometric!B57</f>
        <v>Prakash Talukdar</v>
      </c>
      <c r="C57" s="5" t="str">
        <f>biometric!C57</f>
        <v>Lab assistant</v>
      </c>
      <c r="D57" s="5" t="str">
        <f>biometric!D57</f>
        <v>Admin Non Teaching</v>
      </c>
      <c r="E57" s="7">
        <v>20</v>
      </c>
      <c r="F57" s="7"/>
      <c r="G57" t="str">
        <f>IFERROR(VLOOKUP(#REF!,#REF!, 6, FALSE), "")</f>
        <v/>
      </c>
      <c r="H57" t="str">
        <f>IFERROR(VLOOKUP(#REF!,#REF!, 7, FALSE), "")</f>
        <v/>
      </c>
      <c r="I57" t="str">
        <f>IFERROR(VLOOKUP(#REF!,#REF!, 14, FALSE), "")</f>
        <v/>
      </c>
      <c r="J57" t="str">
        <f>IFERROR(VLOOKUP(#REF!,#REF!, 2, FALSE), "")</f>
        <v/>
      </c>
      <c r="K57" t="str">
        <f>IFERROR(VLOOKUP(#REF!,#REF!, 3, FALSE), "")</f>
        <v/>
      </c>
      <c r="L57" t="str">
        <f>IFERROR(VLOOKUP(#REF!,#REF!, 4, FALSE), "")</f>
        <v/>
      </c>
      <c r="M57">
        <f t="shared" si="0"/>
        <v>0</v>
      </c>
      <c r="N57" t="e">
        <f t="shared" si="1"/>
        <v>#VALUE!</v>
      </c>
      <c r="O57" t="str">
        <f>IFERROR(VLOOKUP(#REF!, erp_leave!$A:$D, 2, FALSE), "")</f>
        <v/>
      </c>
      <c r="P57">
        <f t="shared" si="2"/>
        <v>0</v>
      </c>
    </row>
    <row r="58" spans="1:16">
      <c r="A58" s="5" t="str">
        <f>biometric!A58</f>
        <v>GCU030052</v>
      </c>
      <c r="B58" s="5" t="str">
        <f>biometric!B58</f>
        <v>Indreswar Baishya</v>
      </c>
      <c r="C58" s="5" t="str">
        <f>biometric!C58</f>
        <v>Non Teaching</v>
      </c>
      <c r="D58" s="5" t="str">
        <f>biometric!D58</f>
        <v>Admin Non Teaching</v>
      </c>
      <c r="E58" s="7">
        <v>20</v>
      </c>
      <c r="F58" s="7"/>
      <c r="G58" t="str">
        <f>IFERROR(VLOOKUP(#REF!,#REF!, 6, FALSE), "")</f>
        <v/>
      </c>
      <c r="H58" t="str">
        <f>IFERROR(VLOOKUP(#REF!,#REF!, 7, FALSE), "")</f>
        <v/>
      </c>
      <c r="I58" t="str">
        <f>IFERROR(VLOOKUP(#REF!,#REF!, 14, FALSE), "")</f>
        <v/>
      </c>
      <c r="J58" t="str">
        <f>IFERROR(VLOOKUP(#REF!,#REF!, 2, FALSE), "")</f>
        <v/>
      </c>
      <c r="K58" t="str">
        <f>IFERROR(VLOOKUP(#REF!,#REF!, 3, FALSE), "")</f>
        <v/>
      </c>
      <c r="L58" t="str">
        <f>IFERROR(VLOOKUP(#REF!,#REF!, 4, FALSE), "")</f>
        <v/>
      </c>
      <c r="M58">
        <f t="shared" si="0"/>
        <v>0</v>
      </c>
      <c r="N58" t="e">
        <f t="shared" si="1"/>
        <v>#VALUE!</v>
      </c>
      <c r="O58" t="str">
        <f>IFERROR(VLOOKUP(#REF!, erp_leave!$A:$D, 2, FALSE), "")</f>
        <v/>
      </c>
      <c r="P58">
        <f t="shared" si="2"/>
        <v>0</v>
      </c>
    </row>
    <row r="59" spans="1:16">
      <c r="A59" s="5" t="str">
        <f>biometric!A59</f>
        <v>GCU030053</v>
      </c>
      <c r="B59" s="5" t="str">
        <f>biometric!B59</f>
        <v>Sikha Rani Das</v>
      </c>
      <c r="C59" s="5" t="str">
        <f>biometric!C59</f>
        <v>Non Teaching</v>
      </c>
      <c r="D59" s="5" t="str">
        <f>biometric!D59</f>
        <v>Admin Non Teaching</v>
      </c>
      <c r="E59" s="7">
        <v>20</v>
      </c>
      <c r="F59" s="7"/>
      <c r="G59" t="str">
        <f>IFERROR(VLOOKUP(#REF!,#REF!, 6, FALSE), "")</f>
        <v/>
      </c>
      <c r="H59" t="str">
        <f>IFERROR(VLOOKUP(#REF!,#REF!, 7, FALSE), "")</f>
        <v/>
      </c>
      <c r="I59" t="str">
        <f>IFERROR(VLOOKUP(#REF!,#REF!, 14, FALSE), "")</f>
        <v/>
      </c>
      <c r="J59" t="str">
        <f>IFERROR(VLOOKUP(#REF!,#REF!, 2, FALSE), "")</f>
        <v/>
      </c>
      <c r="K59" t="str">
        <f>IFERROR(VLOOKUP(#REF!,#REF!, 3, FALSE), "")</f>
        <v/>
      </c>
      <c r="L59" t="str">
        <f>IFERROR(VLOOKUP(#REF!,#REF!, 4, FALSE), "")</f>
        <v/>
      </c>
      <c r="M59">
        <f t="shared" si="0"/>
        <v>0</v>
      </c>
      <c r="N59" t="e">
        <f t="shared" si="1"/>
        <v>#VALUE!</v>
      </c>
      <c r="O59" t="str">
        <f>IFERROR(VLOOKUP(#REF!, erp_leave!$A:$D, 2, FALSE), "")</f>
        <v/>
      </c>
      <c r="P59">
        <f t="shared" si="2"/>
        <v>0</v>
      </c>
    </row>
    <row r="60" spans="1:16">
      <c r="A60" s="5" t="str">
        <f>biometric!A60</f>
        <v>GCU030055</v>
      </c>
      <c r="B60" s="5" t="str">
        <f>biometric!B60</f>
        <v>Anu Das</v>
      </c>
      <c r="C60" s="5" t="str">
        <f>biometric!C60</f>
        <v>Multitasking Assistant</v>
      </c>
      <c r="D60" s="5" t="str">
        <f>biometric!D60</f>
        <v>Admin Non Teaching</v>
      </c>
      <c r="E60" s="7">
        <v>20</v>
      </c>
      <c r="F60" s="7"/>
      <c r="G60" t="str">
        <f>IFERROR(VLOOKUP(#REF!,#REF!, 6, FALSE), "")</f>
        <v/>
      </c>
      <c r="H60" t="str">
        <f>IFERROR(VLOOKUP(#REF!,#REF!, 7, FALSE), "")</f>
        <v/>
      </c>
      <c r="I60" t="str">
        <f>IFERROR(VLOOKUP(#REF!,#REF!, 14, FALSE), "")</f>
        <v/>
      </c>
      <c r="J60" t="str">
        <f>IFERROR(VLOOKUP(#REF!,#REF!, 2, FALSE), "")</f>
        <v/>
      </c>
      <c r="K60" t="str">
        <f>IFERROR(VLOOKUP(#REF!,#REF!, 3, FALSE), "")</f>
        <v/>
      </c>
      <c r="L60" t="str">
        <f>IFERROR(VLOOKUP(#REF!,#REF!, 4, FALSE), "")</f>
        <v/>
      </c>
      <c r="M60">
        <f t="shared" si="0"/>
        <v>0</v>
      </c>
      <c r="N60" t="e">
        <f t="shared" si="1"/>
        <v>#VALUE!</v>
      </c>
      <c r="O60" t="str">
        <f>IFERROR(VLOOKUP(#REF!, erp_leave!$A:$D, 2, FALSE), "")</f>
        <v/>
      </c>
      <c r="P60">
        <f t="shared" si="2"/>
        <v>0</v>
      </c>
    </row>
    <row r="61" spans="1:16">
      <c r="A61" s="5" t="str">
        <f>biometric!A61</f>
        <v>GCU030056</v>
      </c>
      <c r="B61" s="5" t="str">
        <f>biometric!B61</f>
        <v>Lakhi Nath Barman</v>
      </c>
      <c r="C61" s="5" t="str">
        <f>biometric!C61</f>
        <v>Driver</v>
      </c>
      <c r="D61" s="5" t="str">
        <f>biometric!D61</f>
        <v>Admin Non Teaching</v>
      </c>
      <c r="E61" s="7">
        <v>20</v>
      </c>
      <c r="F61" s="7"/>
      <c r="G61" t="str">
        <f>IFERROR(VLOOKUP(#REF!,#REF!, 6, FALSE), "")</f>
        <v/>
      </c>
      <c r="H61" t="str">
        <f>IFERROR(VLOOKUP(#REF!,#REF!, 7, FALSE), "")</f>
        <v/>
      </c>
      <c r="I61" t="str">
        <f>IFERROR(VLOOKUP(#REF!,#REF!, 14, FALSE), "")</f>
        <v/>
      </c>
      <c r="J61" t="str">
        <f>IFERROR(VLOOKUP(#REF!,#REF!, 2, FALSE), "")</f>
        <v/>
      </c>
      <c r="K61" t="str">
        <f>IFERROR(VLOOKUP(#REF!,#REF!, 3, FALSE), "")</f>
        <v/>
      </c>
      <c r="L61" t="str">
        <f>IFERROR(VLOOKUP(#REF!,#REF!, 4, FALSE), "")</f>
        <v/>
      </c>
      <c r="M61">
        <f t="shared" si="0"/>
        <v>0</v>
      </c>
      <c r="N61" t="e">
        <f t="shared" si="1"/>
        <v>#VALUE!</v>
      </c>
      <c r="O61" t="str">
        <f>IFERROR(VLOOKUP(#REF!, erp_leave!$A:$D, 2, FALSE), "")</f>
        <v/>
      </c>
      <c r="P61">
        <f t="shared" si="2"/>
        <v>0</v>
      </c>
    </row>
    <row r="62" spans="1:16">
      <c r="A62" s="5" t="str">
        <f>biometric!A62</f>
        <v>GCU030057</v>
      </c>
      <c r="B62" s="5" t="str">
        <f>biometric!B62</f>
        <v>Parag Moni Kalita</v>
      </c>
      <c r="C62" s="5" t="str">
        <f>biometric!C62</f>
        <v>Non Teaching</v>
      </c>
      <c r="D62" s="5" t="str">
        <f>biometric!D62</f>
        <v>Admin Non Teaching</v>
      </c>
      <c r="E62" s="7">
        <v>20</v>
      </c>
      <c r="F62" s="7"/>
      <c r="G62" t="str">
        <f>IFERROR(VLOOKUP(#REF!,#REF!, 6, FALSE), "")</f>
        <v/>
      </c>
      <c r="H62" t="str">
        <f>IFERROR(VLOOKUP(#REF!,#REF!, 7, FALSE), "")</f>
        <v/>
      </c>
      <c r="I62" t="str">
        <f>IFERROR(VLOOKUP(#REF!,#REF!, 14, FALSE), "")</f>
        <v/>
      </c>
      <c r="J62" t="str">
        <f>IFERROR(VLOOKUP(#REF!,#REF!, 2, FALSE), "")</f>
        <v/>
      </c>
      <c r="K62" t="str">
        <f>IFERROR(VLOOKUP(#REF!,#REF!, 3, FALSE), "")</f>
        <v/>
      </c>
      <c r="L62" t="str">
        <f>IFERROR(VLOOKUP(#REF!,#REF!, 4, FALSE), "")</f>
        <v/>
      </c>
      <c r="M62">
        <f t="shared" si="0"/>
        <v>0</v>
      </c>
      <c r="N62" t="e">
        <f t="shared" si="1"/>
        <v>#VALUE!</v>
      </c>
      <c r="O62" t="str">
        <f>IFERROR(VLOOKUP(#REF!, erp_leave!$A:$D, 2, FALSE), "")</f>
        <v/>
      </c>
      <c r="P62">
        <f t="shared" si="2"/>
        <v>0</v>
      </c>
    </row>
    <row r="63" spans="1:16">
      <c r="A63" s="5" t="str">
        <f>biometric!A63</f>
        <v>GCU030059</v>
      </c>
      <c r="B63" s="5" t="str">
        <f>biometric!B63</f>
        <v>Hamid Ali</v>
      </c>
      <c r="C63" s="5" t="str">
        <f>biometric!C63</f>
        <v>Non Teaching</v>
      </c>
      <c r="D63" s="5" t="str">
        <f>biometric!D63</f>
        <v>Admin Non Teaching</v>
      </c>
      <c r="E63" s="7">
        <v>20</v>
      </c>
      <c r="F63" s="7"/>
      <c r="G63" t="str">
        <f>IFERROR(VLOOKUP(#REF!,#REF!, 6, FALSE), "")</f>
        <v/>
      </c>
      <c r="H63" t="str">
        <f>IFERROR(VLOOKUP(#REF!,#REF!, 7, FALSE), "")</f>
        <v/>
      </c>
      <c r="I63" t="str">
        <f>IFERROR(VLOOKUP(#REF!,#REF!, 14, FALSE), "")</f>
        <v/>
      </c>
      <c r="J63" t="str">
        <f>IFERROR(VLOOKUP(#REF!,#REF!, 2, FALSE), "")</f>
        <v/>
      </c>
      <c r="K63" t="str">
        <f>IFERROR(VLOOKUP(#REF!,#REF!, 3, FALSE), "")</f>
        <v/>
      </c>
      <c r="L63" t="str">
        <f>IFERROR(VLOOKUP(#REF!,#REF!, 4, FALSE), "")</f>
        <v/>
      </c>
      <c r="M63">
        <f t="shared" si="0"/>
        <v>0</v>
      </c>
      <c r="N63" t="e">
        <f t="shared" si="1"/>
        <v>#VALUE!</v>
      </c>
      <c r="O63" t="str">
        <f>IFERROR(VLOOKUP(#REF!, erp_leave!$A:$D, 2, FALSE), "")</f>
        <v/>
      </c>
      <c r="P63">
        <f t="shared" si="2"/>
        <v>0</v>
      </c>
    </row>
    <row r="64" spans="1:16">
      <c r="A64" s="5" t="str">
        <f>biometric!A64</f>
        <v>GCU030060</v>
      </c>
      <c r="B64" s="5" t="str">
        <f>biometric!B64</f>
        <v>Sankar Das</v>
      </c>
      <c r="C64" s="5" t="str">
        <f>biometric!C64</f>
        <v>Non Teaching</v>
      </c>
      <c r="D64" s="5" t="str">
        <f>biometric!D64</f>
        <v>Admin Non Teaching</v>
      </c>
      <c r="E64" s="7">
        <v>20</v>
      </c>
      <c r="F64" s="7"/>
      <c r="G64" t="str">
        <f>IFERROR(VLOOKUP(#REF!,#REF!, 6, FALSE), "")</f>
        <v/>
      </c>
      <c r="H64" t="str">
        <f>IFERROR(VLOOKUP(#REF!,#REF!, 7, FALSE), "")</f>
        <v/>
      </c>
      <c r="I64" t="str">
        <f>IFERROR(VLOOKUP(#REF!,#REF!, 14, FALSE), "")</f>
        <v/>
      </c>
      <c r="J64" t="str">
        <f>IFERROR(VLOOKUP(#REF!,#REF!, 2, FALSE), "")</f>
        <v/>
      </c>
      <c r="K64" t="str">
        <f>IFERROR(VLOOKUP(#REF!,#REF!, 3, FALSE), "")</f>
        <v/>
      </c>
      <c r="L64" t="str">
        <f>IFERROR(VLOOKUP(#REF!,#REF!, 4, FALSE), "")</f>
        <v/>
      </c>
      <c r="M64">
        <f t="shared" si="0"/>
        <v>0</v>
      </c>
      <c r="N64" t="e">
        <f t="shared" si="1"/>
        <v>#VALUE!</v>
      </c>
      <c r="O64" t="str">
        <f>IFERROR(VLOOKUP(#REF!, erp_leave!$A:$D, 2, FALSE), "")</f>
        <v/>
      </c>
      <c r="P64">
        <f t="shared" si="2"/>
        <v>0</v>
      </c>
    </row>
    <row r="65" spans="1:16">
      <c r="A65" s="5" t="str">
        <f>biometric!A65</f>
        <v>GCU030066</v>
      </c>
      <c r="B65" s="5" t="str">
        <f>biometric!B65</f>
        <v>Mollika Das</v>
      </c>
      <c r="C65" s="5" t="str">
        <f>biometric!C65</f>
        <v>Non Teaching</v>
      </c>
      <c r="D65" s="5" t="str">
        <f>biometric!D65</f>
        <v>Admin Non Teaching</v>
      </c>
      <c r="E65" s="7">
        <v>20</v>
      </c>
      <c r="F65" s="7"/>
      <c r="G65" t="str">
        <f>IFERROR(VLOOKUP(#REF!,#REF!, 6, FALSE), "")</f>
        <v/>
      </c>
      <c r="H65" t="str">
        <f>IFERROR(VLOOKUP(#REF!,#REF!, 7, FALSE), "")</f>
        <v/>
      </c>
      <c r="I65" t="str">
        <f>IFERROR(VLOOKUP(#REF!,#REF!, 14, FALSE), "")</f>
        <v/>
      </c>
      <c r="J65" t="str">
        <f>IFERROR(VLOOKUP(#REF!,#REF!, 2, FALSE), "")</f>
        <v/>
      </c>
      <c r="K65" t="str">
        <f>IFERROR(VLOOKUP(#REF!,#REF!, 3, FALSE), "")</f>
        <v/>
      </c>
      <c r="L65" t="str">
        <f>IFERROR(VLOOKUP(#REF!,#REF!, 4, FALSE), "")</f>
        <v/>
      </c>
      <c r="M65">
        <f t="shared" si="0"/>
        <v>0</v>
      </c>
      <c r="N65" t="e">
        <f t="shared" si="1"/>
        <v>#VALUE!</v>
      </c>
      <c r="O65" t="str">
        <f>IFERROR(VLOOKUP(#REF!, erp_leave!$A:$D, 2, FALSE), "")</f>
        <v/>
      </c>
      <c r="P65">
        <f t="shared" si="2"/>
        <v>0</v>
      </c>
    </row>
    <row r="66" spans="1:16">
      <c r="A66" s="5" t="str">
        <f>biometric!A66</f>
        <v>GCU030067</v>
      </c>
      <c r="B66" s="5" t="str">
        <f>biometric!B66</f>
        <v>Eyajul Ali</v>
      </c>
      <c r="C66" s="5" t="str">
        <f>biometric!C66</f>
        <v>Lab assistant</v>
      </c>
      <c r="D66" s="5" t="str">
        <f>biometric!D66</f>
        <v>Admin Non Teaching</v>
      </c>
      <c r="E66" s="7">
        <v>20</v>
      </c>
      <c r="F66" s="7"/>
      <c r="G66" t="str">
        <f>IFERROR(VLOOKUP(#REF!,#REF!, 6, FALSE), "")</f>
        <v/>
      </c>
      <c r="H66" t="str">
        <f>IFERROR(VLOOKUP(#REF!,#REF!, 7, FALSE), "")</f>
        <v/>
      </c>
      <c r="I66" t="str">
        <f>IFERROR(VLOOKUP(#REF!,#REF!, 14, FALSE), "")</f>
        <v/>
      </c>
      <c r="J66" t="str">
        <f>IFERROR(VLOOKUP(#REF!,#REF!, 2, FALSE), "")</f>
        <v/>
      </c>
      <c r="K66" t="str">
        <f>IFERROR(VLOOKUP(#REF!,#REF!, 3, FALSE), "")</f>
        <v/>
      </c>
      <c r="L66" t="str">
        <f>IFERROR(VLOOKUP(#REF!,#REF!, 4, FALSE), "")</f>
        <v/>
      </c>
      <c r="M66">
        <f t="shared" si="0"/>
        <v>0</v>
      </c>
      <c r="N66" t="e">
        <f t="shared" si="1"/>
        <v>#VALUE!</v>
      </c>
      <c r="O66" t="str">
        <f>IFERROR(VLOOKUP(#REF!, erp_leave!$A:$D, 2, FALSE), "")</f>
        <v/>
      </c>
      <c r="P66">
        <f t="shared" si="2"/>
        <v>0</v>
      </c>
    </row>
    <row r="67" spans="1:16">
      <c r="A67" s="5" t="str">
        <f>biometric!A67</f>
        <v>GCU030068</v>
      </c>
      <c r="B67" s="5" t="str">
        <f>biometric!B67</f>
        <v>Anup Baruah</v>
      </c>
      <c r="C67" s="5" t="str">
        <f>biometric!C67</f>
        <v>Security Guard</v>
      </c>
      <c r="D67" s="5" t="str">
        <f>biometric!D67</f>
        <v>Admin Non Teaching</v>
      </c>
      <c r="E67" s="7">
        <v>20</v>
      </c>
      <c r="F67" s="7"/>
      <c r="G67" t="str">
        <f>IFERROR(VLOOKUP(#REF!,#REF!, 6, FALSE), "")</f>
        <v/>
      </c>
      <c r="H67" t="str">
        <f>IFERROR(VLOOKUP(#REF!,#REF!, 7, FALSE), "")</f>
        <v/>
      </c>
      <c r="I67" t="str">
        <f>IFERROR(VLOOKUP(#REF!,#REF!, 14, FALSE), "")</f>
        <v/>
      </c>
      <c r="J67" t="str">
        <f>IFERROR(VLOOKUP(#REF!,#REF!, 2, FALSE), "")</f>
        <v/>
      </c>
      <c r="K67" t="str">
        <f>IFERROR(VLOOKUP(#REF!,#REF!, 3, FALSE), "")</f>
        <v/>
      </c>
      <c r="L67" t="str">
        <f>IFERROR(VLOOKUP(#REF!,#REF!, 4, FALSE), "")</f>
        <v/>
      </c>
      <c r="M67">
        <f t="shared" ref="M67:M130" si="3">IFERROR(K67*0.5+L67*1,0)</f>
        <v>0</v>
      </c>
      <c r="N67" t="e">
        <f t="shared" ref="N67:N130" si="4">H67-M67</f>
        <v>#VALUE!</v>
      </c>
      <c r="O67" t="str">
        <f>IFERROR(VLOOKUP(#REF!, erp_leave!$A:$D, 2, FALSE), "")</f>
        <v/>
      </c>
      <c r="P67">
        <f t="shared" ref="P67:P130" si="5">IFERROR(ABS(O67-N67),0)</f>
        <v>0</v>
      </c>
    </row>
    <row r="68" spans="1:16">
      <c r="A68" s="5" t="str">
        <f>biometric!A68</f>
        <v>GCU030072</v>
      </c>
      <c r="B68" s="5" t="str">
        <f>biometric!B68</f>
        <v>PRAHLAD ROY</v>
      </c>
      <c r="C68" s="5" t="str">
        <f>biometric!C68</f>
        <v>Non Teaching</v>
      </c>
      <c r="D68" s="5" t="str">
        <f>biometric!D68</f>
        <v>Admin Non Teaching</v>
      </c>
      <c r="E68" s="7">
        <v>20</v>
      </c>
      <c r="F68" s="7"/>
      <c r="G68" t="str">
        <f>IFERROR(VLOOKUP(#REF!,#REF!, 6, FALSE), "")</f>
        <v/>
      </c>
      <c r="H68" t="str">
        <f>IFERROR(VLOOKUP(#REF!,#REF!, 7, FALSE), "")</f>
        <v/>
      </c>
      <c r="I68" t="str">
        <f>IFERROR(VLOOKUP(#REF!,#REF!, 14, FALSE), "")</f>
        <v/>
      </c>
      <c r="J68" t="str">
        <f>IFERROR(VLOOKUP(#REF!,#REF!, 2, FALSE), "")</f>
        <v/>
      </c>
      <c r="K68" t="str">
        <f>IFERROR(VLOOKUP(#REF!,#REF!, 3, FALSE), "")</f>
        <v/>
      </c>
      <c r="L68" t="str">
        <f>IFERROR(VLOOKUP(#REF!,#REF!, 4, FALSE), "")</f>
        <v/>
      </c>
      <c r="M68">
        <f t="shared" si="3"/>
        <v>0</v>
      </c>
      <c r="N68" t="e">
        <f t="shared" si="4"/>
        <v>#VALUE!</v>
      </c>
      <c r="O68" t="str">
        <f>IFERROR(VLOOKUP(#REF!, erp_leave!$A:$D, 2, FALSE), "")</f>
        <v/>
      </c>
      <c r="P68">
        <f t="shared" si="5"/>
        <v>0</v>
      </c>
    </row>
    <row r="69" spans="1:16">
      <c r="A69" s="5" t="str">
        <f>biometric!A69</f>
        <v>GCU030074</v>
      </c>
      <c r="B69" s="5" t="str">
        <f>biometric!B69</f>
        <v>Purnima Das</v>
      </c>
      <c r="C69" s="5" t="str">
        <f>biometric!C69</f>
        <v>Cleaner</v>
      </c>
      <c r="D69" s="5" t="str">
        <f>biometric!D69</f>
        <v>Admin Non Teaching</v>
      </c>
      <c r="E69" s="7">
        <v>20</v>
      </c>
      <c r="F69" s="7"/>
      <c r="G69" t="str">
        <f>IFERROR(VLOOKUP(#REF!,#REF!, 6, FALSE), "")</f>
        <v/>
      </c>
      <c r="H69" t="str">
        <f>IFERROR(VLOOKUP(#REF!,#REF!, 7, FALSE), "")</f>
        <v/>
      </c>
      <c r="I69" t="str">
        <f>IFERROR(VLOOKUP(#REF!,#REF!, 14, FALSE), "")</f>
        <v/>
      </c>
      <c r="J69" t="str">
        <f>IFERROR(VLOOKUP(#REF!,#REF!, 2, FALSE), "")</f>
        <v/>
      </c>
      <c r="K69" t="str">
        <f>IFERROR(VLOOKUP(#REF!,#REF!, 3, FALSE), "")</f>
        <v/>
      </c>
      <c r="L69" t="str">
        <f>IFERROR(VLOOKUP(#REF!,#REF!, 4, FALSE), "")</f>
        <v/>
      </c>
      <c r="M69">
        <f t="shared" si="3"/>
        <v>0</v>
      </c>
      <c r="N69" t="e">
        <f t="shared" si="4"/>
        <v>#VALUE!</v>
      </c>
      <c r="O69" t="str">
        <f>IFERROR(VLOOKUP(#REF!, erp_leave!$A:$D, 2, FALSE), "")</f>
        <v/>
      </c>
      <c r="P69">
        <f t="shared" si="5"/>
        <v>0</v>
      </c>
    </row>
    <row r="70" spans="1:16">
      <c r="A70" s="5" t="str">
        <f>biometric!A70</f>
        <v>GCU030075</v>
      </c>
      <c r="B70" s="5" t="str">
        <f>biometric!B70</f>
        <v>Kamala Das</v>
      </c>
      <c r="C70" s="5" t="str">
        <f>biometric!C70</f>
        <v>Cleaner</v>
      </c>
      <c r="D70" s="5" t="str">
        <f>biometric!D70</f>
        <v>Admin Non Teaching</v>
      </c>
      <c r="E70" s="7">
        <v>20</v>
      </c>
      <c r="F70" s="7"/>
      <c r="G70" t="str">
        <f>IFERROR(VLOOKUP(#REF!,#REF!, 6, FALSE), "")</f>
        <v/>
      </c>
      <c r="H70" t="str">
        <f>IFERROR(VLOOKUP(#REF!,#REF!, 7, FALSE), "")</f>
        <v/>
      </c>
      <c r="I70" t="str">
        <f>IFERROR(VLOOKUP(#REF!,#REF!, 14, FALSE), "")</f>
        <v/>
      </c>
      <c r="J70" t="str">
        <f>IFERROR(VLOOKUP(#REF!,#REF!, 2, FALSE), "")</f>
        <v/>
      </c>
      <c r="K70" t="str">
        <f>IFERROR(VLOOKUP(#REF!,#REF!, 3, FALSE), "")</f>
        <v/>
      </c>
      <c r="L70" t="str">
        <f>IFERROR(VLOOKUP(#REF!,#REF!, 4, FALSE), "")</f>
        <v/>
      </c>
      <c r="M70">
        <f t="shared" si="3"/>
        <v>0</v>
      </c>
      <c r="N70" t="e">
        <f t="shared" si="4"/>
        <v>#VALUE!</v>
      </c>
      <c r="O70" t="str">
        <f>IFERROR(VLOOKUP(#REF!, erp_leave!$A:$D, 2, FALSE), "")</f>
        <v/>
      </c>
      <c r="P70">
        <f t="shared" si="5"/>
        <v>0</v>
      </c>
    </row>
    <row r="71" spans="1:16">
      <c r="A71" s="5" t="str">
        <f>biometric!A71</f>
        <v>GCU030076</v>
      </c>
      <c r="B71" s="5" t="str">
        <f>biometric!B71</f>
        <v>Utpal Das</v>
      </c>
      <c r="C71" s="5" t="str">
        <f>biometric!C71</f>
        <v>Driver</v>
      </c>
      <c r="D71" s="5" t="str">
        <f>biometric!D71</f>
        <v>Admin Non Teaching</v>
      </c>
      <c r="E71" s="7">
        <v>20</v>
      </c>
      <c r="F71" s="7"/>
      <c r="G71" t="str">
        <f>IFERROR(VLOOKUP(#REF!,#REF!, 6, FALSE), "")</f>
        <v/>
      </c>
      <c r="H71" t="str">
        <f>IFERROR(VLOOKUP(#REF!,#REF!, 7, FALSE), "")</f>
        <v/>
      </c>
      <c r="I71" t="str">
        <f>IFERROR(VLOOKUP(#REF!,#REF!, 14, FALSE), "")</f>
        <v/>
      </c>
      <c r="J71" t="str">
        <f>IFERROR(VLOOKUP(#REF!,#REF!, 2, FALSE), "")</f>
        <v/>
      </c>
      <c r="K71" t="str">
        <f>IFERROR(VLOOKUP(#REF!,#REF!, 3, FALSE), "")</f>
        <v/>
      </c>
      <c r="L71" t="str">
        <f>IFERROR(VLOOKUP(#REF!,#REF!, 4, FALSE), "")</f>
        <v/>
      </c>
      <c r="M71">
        <f t="shared" si="3"/>
        <v>0</v>
      </c>
      <c r="N71" t="e">
        <f t="shared" si="4"/>
        <v>#VALUE!</v>
      </c>
      <c r="O71" t="str">
        <f>IFERROR(VLOOKUP(#REF!, erp_leave!$A:$D, 2, FALSE), "")</f>
        <v/>
      </c>
      <c r="P71">
        <f t="shared" si="5"/>
        <v>0</v>
      </c>
    </row>
    <row r="72" spans="1:16">
      <c r="A72" s="5" t="str">
        <f>biometric!A72</f>
        <v>GCU030077</v>
      </c>
      <c r="B72" s="5" t="str">
        <f>biometric!B72</f>
        <v>Sarada Das</v>
      </c>
      <c r="C72" s="5" t="str">
        <f>biometric!C72</f>
        <v>Cleaner</v>
      </c>
      <c r="D72" s="5" t="str">
        <f>biometric!D72</f>
        <v>Admin Non Teaching</v>
      </c>
      <c r="E72" s="7">
        <v>20</v>
      </c>
      <c r="F72" s="7"/>
      <c r="G72" t="str">
        <f>IFERROR(VLOOKUP(#REF!,#REF!, 6, FALSE), "")</f>
        <v/>
      </c>
      <c r="H72" t="str">
        <f>IFERROR(VLOOKUP(#REF!,#REF!, 7, FALSE), "")</f>
        <v/>
      </c>
      <c r="I72" t="str">
        <f>IFERROR(VLOOKUP(#REF!,#REF!, 14, FALSE), "")</f>
        <v/>
      </c>
      <c r="J72" t="str">
        <f>IFERROR(VLOOKUP(#REF!,#REF!, 2, FALSE), "")</f>
        <v/>
      </c>
      <c r="K72" t="str">
        <f>IFERROR(VLOOKUP(#REF!,#REF!, 3, FALSE), "")</f>
        <v/>
      </c>
      <c r="L72" t="str">
        <f>IFERROR(VLOOKUP(#REF!,#REF!, 4, FALSE), "")</f>
        <v/>
      </c>
      <c r="M72">
        <f t="shared" si="3"/>
        <v>0</v>
      </c>
      <c r="N72" t="e">
        <f t="shared" si="4"/>
        <v>#VALUE!</v>
      </c>
      <c r="O72" t="str">
        <f>IFERROR(VLOOKUP(#REF!, erp_leave!$A:$D, 2, FALSE), "")</f>
        <v/>
      </c>
      <c r="P72">
        <f t="shared" si="5"/>
        <v>0</v>
      </c>
    </row>
    <row r="73" spans="1:16">
      <c r="A73" s="5" t="str">
        <f>biometric!A73</f>
        <v>GCU030078</v>
      </c>
      <c r="B73" s="5" t="str">
        <f>biometric!B73</f>
        <v>Kalpana Roy</v>
      </c>
      <c r="C73" s="5" t="str">
        <f>biometric!C73</f>
        <v>Cleaner</v>
      </c>
      <c r="D73" s="5" t="str">
        <f>biometric!D73</f>
        <v>Admin Non Teaching</v>
      </c>
      <c r="E73" s="7">
        <v>20</v>
      </c>
      <c r="F73" s="7"/>
      <c r="G73" t="str">
        <f>IFERROR(VLOOKUP(#REF!,#REF!, 6, FALSE), "")</f>
        <v/>
      </c>
      <c r="H73" t="str">
        <f>IFERROR(VLOOKUP(#REF!,#REF!, 7, FALSE), "")</f>
        <v/>
      </c>
      <c r="I73" t="str">
        <f>IFERROR(VLOOKUP(#REF!,#REF!, 14, FALSE), "")</f>
        <v/>
      </c>
      <c r="J73" t="str">
        <f>IFERROR(VLOOKUP(#REF!,#REF!, 2, FALSE), "")</f>
        <v/>
      </c>
      <c r="K73" t="str">
        <f>IFERROR(VLOOKUP(#REF!,#REF!, 3, FALSE), "")</f>
        <v/>
      </c>
      <c r="L73" t="str">
        <f>IFERROR(VLOOKUP(#REF!,#REF!, 4, FALSE), "")</f>
        <v/>
      </c>
      <c r="M73">
        <f t="shared" si="3"/>
        <v>0</v>
      </c>
      <c r="N73" t="e">
        <f t="shared" si="4"/>
        <v>#VALUE!</v>
      </c>
      <c r="O73" t="str">
        <f>IFERROR(VLOOKUP(#REF!, erp_leave!$A:$D, 2, FALSE), "")</f>
        <v/>
      </c>
      <c r="P73">
        <f t="shared" si="5"/>
        <v>0</v>
      </c>
    </row>
    <row r="74" spans="1:16">
      <c r="A74" s="5" t="str">
        <f>biometric!A74</f>
        <v>GCU030080</v>
      </c>
      <c r="B74" s="5" t="str">
        <f>biometric!B74</f>
        <v>Laba Ram Das</v>
      </c>
      <c r="C74" s="5" t="str">
        <f>biometric!C74</f>
        <v>Security Guard</v>
      </c>
      <c r="D74" s="5" t="str">
        <f>biometric!D74</f>
        <v>Admin Non Teaching</v>
      </c>
      <c r="E74" s="7">
        <v>20</v>
      </c>
      <c r="F74" s="7"/>
      <c r="G74" t="str">
        <f>IFERROR(VLOOKUP(#REF!,#REF!, 6, FALSE), "")</f>
        <v/>
      </c>
      <c r="H74" t="str">
        <f>IFERROR(VLOOKUP(#REF!,#REF!, 7, FALSE), "")</f>
        <v/>
      </c>
      <c r="I74" t="str">
        <f>IFERROR(VLOOKUP(#REF!,#REF!, 14, FALSE), "")</f>
        <v/>
      </c>
      <c r="J74" t="str">
        <f>IFERROR(VLOOKUP(#REF!,#REF!, 2, FALSE), "")</f>
        <v/>
      </c>
      <c r="K74" t="str">
        <f>IFERROR(VLOOKUP(#REF!,#REF!, 3, FALSE), "")</f>
        <v/>
      </c>
      <c r="L74" t="str">
        <f>IFERROR(VLOOKUP(#REF!,#REF!, 4, FALSE), "")</f>
        <v/>
      </c>
      <c r="M74">
        <f t="shared" si="3"/>
        <v>0</v>
      </c>
      <c r="N74" t="e">
        <f t="shared" si="4"/>
        <v>#VALUE!</v>
      </c>
      <c r="O74" t="str">
        <f>IFERROR(VLOOKUP(#REF!, erp_leave!$A:$D, 2, FALSE), "")</f>
        <v/>
      </c>
      <c r="P74">
        <f t="shared" si="5"/>
        <v>0</v>
      </c>
    </row>
    <row r="75" spans="1:16">
      <c r="A75" s="5" t="str">
        <f>biometric!A75</f>
        <v>GCU030081</v>
      </c>
      <c r="B75" s="5" t="str">
        <f>biometric!B75</f>
        <v>Indrabati Basfore</v>
      </c>
      <c r="C75" s="5" t="str">
        <f>biometric!C75</f>
        <v>Cleaner</v>
      </c>
      <c r="D75" s="5" t="str">
        <f>biometric!D75</f>
        <v>Admin Non Teaching</v>
      </c>
      <c r="E75" s="7">
        <v>20</v>
      </c>
      <c r="F75" s="7"/>
      <c r="G75" t="str">
        <f>IFERROR(VLOOKUP(#REF!,#REF!, 6, FALSE), "")</f>
        <v/>
      </c>
      <c r="H75" t="str">
        <f>IFERROR(VLOOKUP(#REF!,#REF!, 7, FALSE), "")</f>
        <v/>
      </c>
      <c r="I75" t="str">
        <f>IFERROR(VLOOKUP(#REF!,#REF!, 14, FALSE), "")</f>
        <v/>
      </c>
      <c r="J75" t="str">
        <f>IFERROR(VLOOKUP(#REF!,#REF!, 2, FALSE), "")</f>
        <v/>
      </c>
      <c r="K75" t="str">
        <f>IFERROR(VLOOKUP(#REF!,#REF!, 3, FALSE), "")</f>
        <v/>
      </c>
      <c r="L75" t="str">
        <f>IFERROR(VLOOKUP(#REF!,#REF!, 4, FALSE), "")</f>
        <v/>
      </c>
      <c r="M75">
        <f t="shared" si="3"/>
        <v>0</v>
      </c>
      <c r="N75" t="e">
        <f t="shared" si="4"/>
        <v>#VALUE!</v>
      </c>
      <c r="O75" t="str">
        <f>IFERROR(VLOOKUP(#REF!, erp_leave!$A:$D, 2, FALSE), "")</f>
        <v/>
      </c>
      <c r="P75">
        <f t="shared" si="5"/>
        <v>0</v>
      </c>
    </row>
    <row r="76" spans="1:16">
      <c r="A76" s="5" t="str">
        <f>biometric!A76</f>
        <v>GCU030082</v>
      </c>
      <c r="B76" s="5" t="str">
        <f>biometric!B76</f>
        <v>Basanti Basfore</v>
      </c>
      <c r="C76" s="5" t="str">
        <f>biometric!C76</f>
        <v>Cleaner</v>
      </c>
      <c r="D76" s="5" t="str">
        <f>biometric!D76</f>
        <v>Admin Non Teaching</v>
      </c>
      <c r="E76" s="7">
        <v>20</v>
      </c>
      <c r="F76" s="7"/>
      <c r="G76" t="str">
        <f>IFERROR(VLOOKUP(#REF!,#REF!, 6, FALSE), "")</f>
        <v/>
      </c>
      <c r="H76" t="str">
        <f>IFERROR(VLOOKUP(#REF!,#REF!, 7, FALSE), "")</f>
        <v/>
      </c>
      <c r="I76" t="str">
        <f>IFERROR(VLOOKUP(#REF!,#REF!, 14, FALSE), "")</f>
        <v/>
      </c>
      <c r="J76" t="str">
        <f>IFERROR(VLOOKUP(#REF!,#REF!, 2, FALSE), "")</f>
        <v/>
      </c>
      <c r="K76" t="str">
        <f>IFERROR(VLOOKUP(#REF!,#REF!, 3, FALSE), "")</f>
        <v/>
      </c>
      <c r="L76" t="str">
        <f>IFERROR(VLOOKUP(#REF!,#REF!, 4, FALSE), "")</f>
        <v/>
      </c>
      <c r="M76">
        <f t="shared" si="3"/>
        <v>0</v>
      </c>
      <c r="N76" t="e">
        <f t="shared" si="4"/>
        <v>#VALUE!</v>
      </c>
      <c r="O76" t="str">
        <f>IFERROR(VLOOKUP(#REF!, erp_leave!$A:$D, 2, FALSE), "")</f>
        <v/>
      </c>
      <c r="P76">
        <f t="shared" si="5"/>
        <v>0</v>
      </c>
    </row>
    <row r="77" spans="1:16">
      <c r="A77" s="5" t="str">
        <f>biometric!A77</f>
        <v>GCU030083</v>
      </c>
      <c r="B77" s="5" t="str">
        <f>biometric!B77</f>
        <v>Sufia Khatun</v>
      </c>
      <c r="C77" s="5" t="str">
        <f>biometric!C77</f>
        <v>Cleaner</v>
      </c>
      <c r="D77" s="5" t="str">
        <f>biometric!D77</f>
        <v>Admin Non Teaching</v>
      </c>
      <c r="E77" s="7">
        <v>20</v>
      </c>
      <c r="F77" s="7"/>
      <c r="G77" t="str">
        <f>IFERROR(VLOOKUP(#REF!,#REF!, 6, FALSE), "")</f>
        <v/>
      </c>
      <c r="H77" t="str">
        <f>IFERROR(VLOOKUP(#REF!,#REF!, 7, FALSE), "")</f>
        <v/>
      </c>
      <c r="I77" t="str">
        <f>IFERROR(VLOOKUP(#REF!,#REF!, 14, FALSE), "")</f>
        <v/>
      </c>
      <c r="J77" t="str">
        <f>IFERROR(VLOOKUP(#REF!,#REF!, 2, FALSE), "")</f>
        <v/>
      </c>
      <c r="K77" t="str">
        <f>IFERROR(VLOOKUP(#REF!,#REF!, 3, FALSE), "")</f>
        <v/>
      </c>
      <c r="L77" t="str">
        <f>IFERROR(VLOOKUP(#REF!,#REF!, 4, FALSE), "")</f>
        <v/>
      </c>
      <c r="M77">
        <f t="shared" si="3"/>
        <v>0</v>
      </c>
      <c r="N77" t="e">
        <f t="shared" si="4"/>
        <v>#VALUE!</v>
      </c>
      <c r="O77" t="str">
        <f>IFERROR(VLOOKUP(#REF!, erp_leave!$A:$D, 2, FALSE), "")</f>
        <v/>
      </c>
      <c r="P77">
        <f t="shared" si="5"/>
        <v>0</v>
      </c>
    </row>
    <row r="78" spans="1:16">
      <c r="A78" s="5" t="str">
        <f>biometric!A78</f>
        <v>GCU030084</v>
      </c>
      <c r="B78" s="5" t="str">
        <f>biometric!B78</f>
        <v>Thaneswar Kalita</v>
      </c>
      <c r="C78" s="5" t="str">
        <f>biometric!C78</f>
        <v>Security Guard</v>
      </c>
      <c r="D78" s="5" t="str">
        <f>biometric!D78</f>
        <v>Admin Non Teaching</v>
      </c>
      <c r="E78" s="7">
        <v>20</v>
      </c>
      <c r="F78" s="7"/>
      <c r="G78" t="str">
        <f>IFERROR(VLOOKUP(#REF!,#REF!, 6, FALSE), "")</f>
        <v/>
      </c>
      <c r="H78" t="str">
        <f>IFERROR(VLOOKUP(#REF!,#REF!, 7, FALSE), "")</f>
        <v/>
      </c>
      <c r="I78" t="str">
        <f>IFERROR(VLOOKUP(#REF!,#REF!, 14, FALSE), "")</f>
        <v/>
      </c>
      <c r="J78" t="str">
        <f>IFERROR(VLOOKUP(#REF!,#REF!, 2, FALSE), "")</f>
        <v/>
      </c>
      <c r="K78" t="str">
        <f>IFERROR(VLOOKUP(#REF!,#REF!, 3, FALSE), "")</f>
        <v/>
      </c>
      <c r="L78" t="str">
        <f>IFERROR(VLOOKUP(#REF!,#REF!, 4, FALSE), "")</f>
        <v/>
      </c>
      <c r="M78">
        <f t="shared" si="3"/>
        <v>0</v>
      </c>
      <c r="N78" t="e">
        <f t="shared" si="4"/>
        <v>#VALUE!</v>
      </c>
      <c r="O78" t="str">
        <f>IFERROR(VLOOKUP(#REF!, erp_leave!$A:$D, 2, FALSE), "")</f>
        <v/>
      </c>
      <c r="P78">
        <f t="shared" si="5"/>
        <v>0</v>
      </c>
    </row>
    <row r="79" spans="1:16">
      <c r="A79" s="5" t="str">
        <f>biometric!A79</f>
        <v>GCU030085</v>
      </c>
      <c r="B79" s="5" t="str">
        <f>biometric!B79</f>
        <v>Haren Das</v>
      </c>
      <c r="C79" s="5" t="str">
        <f>biometric!C79</f>
        <v>Non Teaching</v>
      </c>
      <c r="D79" s="5" t="str">
        <f>biometric!D79</f>
        <v>Admin Non Teaching</v>
      </c>
      <c r="E79" s="7">
        <v>20</v>
      </c>
      <c r="F79" s="7"/>
      <c r="G79" t="str">
        <f>IFERROR(VLOOKUP(#REF!,#REF!, 6, FALSE), "")</f>
        <v/>
      </c>
      <c r="H79" t="str">
        <f>IFERROR(VLOOKUP(#REF!,#REF!, 7, FALSE), "")</f>
        <v/>
      </c>
      <c r="I79" t="str">
        <f>IFERROR(VLOOKUP(#REF!,#REF!, 14, FALSE), "")</f>
        <v/>
      </c>
      <c r="J79" t="str">
        <f>IFERROR(VLOOKUP(#REF!,#REF!, 2, FALSE), "")</f>
        <v/>
      </c>
      <c r="K79" t="str">
        <f>IFERROR(VLOOKUP(#REF!,#REF!, 3, FALSE), "")</f>
        <v/>
      </c>
      <c r="L79" t="str">
        <f>IFERROR(VLOOKUP(#REF!,#REF!, 4, FALSE), "")</f>
        <v/>
      </c>
      <c r="M79">
        <f t="shared" si="3"/>
        <v>0</v>
      </c>
      <c r="N79" t="e">
        <f t="shared" si="4"/>
        <v>#VALUE!</v>
      </c>
      <c r="O79" t="str">
        <f>IFERROR(VLOOKUP(#REF!, erp_leave!$A:$D, 2, FALSE), "")</f>
        <v/>
      </c>
      <c r="P79">
        <f t="shared" si="5"/>
        <v>0</v>
      </c>
    </row>
    <row r="80" spans="1:16">
      <c r="A80" s="5" t="str">
        <f>biometric!A80</f>
        <v>GCU030087</v>
      </c>
      <c r="B80" s="5" t="str">
        <f>biometric!B80</f>
        <v>Diganta Kumar Das</v>
      </c>
      <c r="C80" s="5" t="str">
        <f>biometric!C80</f>
        <v>Non Teaching</v>
      </c>
      <c r="D80" s="5" t="str">
        <f>biometric!D80</f>
        <v>Admin Non Teaching</v>
      </c>
      <c r="E80" s="7">
        <v>20</v>
      </c>
      <c r="F80" s="7"/>
      <c r="G80" t="str">
        <f>IFERROR(VLOOKUP(#REF!,#REF!, 6, FALSE), "")</f>
        <v/>
      </c>
      <c r="H80" t="str">
        <f>IFERROR(VLOOKUP(#REF!,#REF!, 7, FALSE), "")</f>
        <v/>
      </c>
      <c r="I80" t="str">
        <f>IFERROR(VLOOKUP(#REF!,#REF!, 14, FALSE), "")</f>
        <v/>
      </c>
      <c r="J80" t="str">
        <f>IFERROR(VLOOKUP(#REF!,#REF!, 2, FALSE), "")</f>
        <v/>
      </c>
      <c r="K80" t="str">
        <f>IFERROR(VLOOKUP(#REF!,#REF!, 3, FALSE), "")</f>
        <v/>
      </c>
      <c r="L80" t="str">
        <f>IFERROR(VLOOKUP(#REF!,#REF!, 4, FALSE), "")</f>
        <v/>
      </c>
      <c r="M80">
        <f t="shared" si="3"/>
        <v>0</v>
      </c>
      <c r="N80" t="e">
        <f t="shared" si="4"/>
        <v>#VALUE!</v>
      </c>
      <c r="O80" t="str">
        <f>IFERROR(VLOOKUP(#REF!, erp_leave!$A:$D, 2, FALSE), "")</f>
        <v/>
      </c>
      <c r="P80">
        <f t="shared" si="5"/>
        <v>0</v>
      </c>
    </row>
    <row r="81" spans="1:16">
      <c r="A81" s="5" t="str">
        <f>biometric!A81</f>
        <v>GCU030088</v>
      </c>
      <c r="B81" s="5" t="str">
        <f>biometric!B81</f>
        <v>Bina Basfor</v>
      </c>
      <c r="C81" s="5" t="str">
        <f>biometric!C81</f>
        <v>Cleaner</v>
      </c>
      <c r="D81" s="5" t="str">
        <f>biometric!D81</f>
        <v>Admin Non Teaching</v>
      </c>
      <c r="E81" s="7">
        <v>20</v>
      </c>
      <c r="F81" s="7"/>
      <c r="H81" t="str">
        <f>IFERROR(VLOOKUP(#REF!,#REF!, 7, FALSE), "")</f>
        <v/>
      </c>
      <c r="I81" t="str">
        <f>IFERROR(VLOOKUP(#REF!,#REF!, 14, FALSE), "")</f>
        <v/>
      </c>
      <c r="J81" t="str">
        <f>IFERROR(VLOOKUP(#REF!,#REF!, 2, FALSE), "")</f>
        <v/>
      </c>
      <c r="K81" t="str">
        <f>IFERROR(VLOOKUP(#REF!,#REF!, 3, FALSE), "")</f>
        <v/>
      </c>
      <c r="L81" t="str">
        <f>IFERROR(VLOOKUP(#REF!,#REF!, 4, FALSE), "")</f>
        <v/>
      </c>
      <c r="M81">
        <f t="shared" si="3"/>
        <v>0</v>
      </c>
      <c r="N81" t="e">
        <f t="shared" si="4"/>
        <v>#VALUE!</v>
      </c>
      <c r="O81" t="str">
        <f>IFERROR(VLOOKUP(#REF!, erp_leave!$A:$D, 2, FALSE), "")</f>
        <v/>
      </c>
      <c r="P81">
        <f t="shared" si="5"/>
        <v>0</v>
      </c>
    </row>
    <row r="82" spans="1:16">
      <c r="A82" s="5" t="str">
        <f>biometric!A82</f>
        <v>GCU030089</v>
      </c>
      <c r="B82" s="5" t="str">
        <f>biometric!B82</f>
        <v>Hanufa Bibi</v>
      </c>
      <c r="C82" s="5" t="str">
        <f>biometric!C82</f>
        <v>Cleaner</v>
      </c>
      <c r="D82" s="5" t="str">
        <f>biometric!D82</f>
        <v>Admin Non Teaching</v>
      </c>
      <c r="E82" s="7">
        <v>20</v>
      </c>
      <c r="F82" s="7"/>
      <c r="G82" t="str">
        <f>IFERROR(VLOOKUP(#REF!,#REF!, 6, FALSE), "")</f>
        <v/>
      </c>
      <c r="H82" t="str">
        <f>IFERROR(VLOOKUP(#REF!,#REF!, 7, FALSE), "")</f>
        <v/>
      </c>
      <c r="I82" t="str">
        <f>IFERROR(VLOOKUP(#REF!,#REF!, 14, FALSE), "")</f>
        <v/>
      </c>
      <c r="J82" t="str">
        <f>IFERROR(VLOOKUP(#REF!,#REF!, 2, FALSE), "")</f>
        <v/>
      </c>
      <c r="K82" t="str">
        <f>IFERROR(VLOOKUP(#REF!,#REF!, 3, FALSE), "")</f>
        <v/>
      </c>
      <c r="L82" t="str">
        <f>IFERROR(VLOOKUP(#REF!,#REF!, 4, FALSE), "")</f>
        <v/>
      </c>
      <c r="M82">
        <f t="shared" si="3"/>
        <v>0</v>
      </c>
      <c r="N82" t="e">
        <f t="shared" si="4"/>
        <v>#VALUE!</v>
      </c>
      <c r="O82" t="str">
        <f>IFERROR(VLOOKUP(#REF!, erp_leave!$A:$D, 2, FALSE), "")</f>
        <v/>
      </c>
      <c r="P82">
        <f t="shared" si="5"/>
        <v>0</v>
      </c>
    </row>
    <row r="83" spans="1:16">
      <c r="A83" s="5" t="str">
        <f>biometric!A83</f>
        <v>GCU030090</v>
      </c>
      <c r="B83" s="5" t="str">
        <f>biometric!B83</f>
        <v>Mina Basfor</v>
      </c>
      <c r="C83" s="5" t="str">
        <f>biometric!C83</f>
        <v>Cleaner</v>
      </c>
      <c r="D83" s="5" t="str">
        <f>biometric!D83</f>
        <v>Admin Non Teaching</v>
      </c>
      <c r="E83" s="7">
        <v>20</v>
      </c>
      <c r="F83" s="7"/>
      <c r="G83" t="str">
        <f>IFERROR(VLOOKUP(#REF!,#REF!, 6, FALSE), "")</f>
        <v/>
      </c>
      <c r="H83" t="str">
        <f>IFERROR(VLOOKUP(#REF!,#REF!, 7, FALSE), "")</f>
        <v/>
      </c>
      <c r="I83" t="str">
        <f>IFERROR(VLOOKUP(#REF!,#REF!, 14, FALSE), "")</f>
        <v/>
      </c>
      <c r="J83" t="str">
        <f>IFERROR(VLOOKUP(#REF!,#REF!, 2, FALSE), "")</f>
        <v/>
      </c>
      <c r="K83" t="str">
        <f>IFERROR(VLOOKUP(#REF!,#REF!, 3, FALSE), "")</f>
        <v/>
      </c>
      <c r="L83" t="str">
        <f>IFERROR(VLOOKUP(#REF!,#REF!, 4, FALSE), "")</f>
        <v/>
      </c>
      <c r="M83">
        <f t="shared" si="3"/>
        <v>0</v>
      </c>
      <c r="N83" t="e">
        <f t="shared" si="4"/>
        <v>#VALUE!</v>
      </c>
      <c r="O83" t="str">
        <f>IFERROR(VLOOKUP(#REF!, erp_leave!$A:$D, 2, FALSE), "")</f>
        <v/>
      </c>
      <c r="P83">
        <f t="shared" si="5"/>
        <v>0</v>
      </c>
    </row>
    <row r="84" spans="1:16">
      <c r="A84" s="5" t="str">
        <f>biometric!A84</f>
        <v>GCU030091</v>
      </c>
      <c r="B84" s="5" t="str">
        <f>biometric!B84</f>
        <v>Ashutosh Das</v>
      </c>
      <c r="C84" s="5" t="str">
        <f>biometric!C84</f>
        <v>Non Teaching</v>
      </c>
      <c r="D84" s="5" t="str">
        <f>biometric!D84</f>
        <v>Admin Non Teaching</v>
      </c>
      <c r="E84" s="7">
        <v>20</v>
      </c>
      <c r="F84" s="7"/>
      <c r="G84" t="str">
        <f>IFERROR(VLOOKUP(#REF!,#REF!, 6, FALSE), "")</f>
        <v/>
      </c>
      <c r="H84" t="str">
        <f>IFERROR(VLOOKUP(#REF!,#REF!, 7, FALSE), "")</f>
        <v/>
      </c>
      <c r="I84" t="str">
        <f>IFERROR(VLOOKUP(#REF!,#REF!, 14, FALSE), "")</f>
        <v/>
      </c>
      <c r="J84" t="str">
        <f>IFERROR(VLOOKUP(#REF!,#REF!, 2, FALSE), "")</f>
        <v/>
      </c>
      <c r="K84" t="str">
        <f>IFERROR(VLOOKUP(#REF!,#REF!, 3, FALSE), "")</f>
        <v/>
      </c>
      <c r="L84" t="str">
        <f>IFERROR(VLOOKUP(#REF!,#REF!, 4, FALSE), "")</f>
        <v/>
      </c>
      <c r="M84">
        <f t="shared" si="3"/>
        <v>0</v>
      </c>
      <c r="N84" t="e">
        <f t="shared" si="4"/>
        <v>#VALUE!</v>
      </c>
      <c r="O84" t="str">
        <f>IFERROR(VLOOKUP(#REF!, erp_leave!$A:$D, 2, FALSE), "")</f>
        <v/>
      </c>
      <c r="P84">
        <f t="shared" si="5"/>
        <v>0</v>
      </c>
    </row>
    <row r="85" spans="1:16">
      <c r="A85" s="5" t="str">
        <f>biometric!A85</f>
        <v>GCU030093</v>
      </c>
      <c r="B85" s="5" t="str">
        <f>biometric!B85</f>
        <v>Simanta Baishya</v>
      </c>
      <c r="C85" s="5" t="str">
        <f>biometric!C85</f>
        <v>Non Teaching</v>
      </c>
      <c r="D85" s="5" t="str">
        <f>biometric!D85</f>
        <v>Admin Non Teaching</v>
      </c>
      <c r="E85" s="7">
        <v>20</v>
      </c>
      <c r="F85" s="7"/>
      <c r="G85" t="str">
        <f>IFERROR(VLOOKUP(#REF!,#REF!, 6, FALSE), "")</f>
        <v/>
      </c>
      <c r="H85" t="str">
        <f>IFERROR(VLOOKUP(#REF!,#REF!, 7, FALSE), "")</f>
        <v/>
      </c>
      <c r="I85" t="str">
        <f>IFERROR(VLOOKUP(#REF!,#REF!, 14, FALSE), "")</f>
        <v/>
      </c>
      <c r="J85" t="str">
        <f>IFERROR(VLOOKUP(#REF!,#REF!, 2, FALSE), "")</f>
        <v/>
      </c>
      <c r="K85" t="str">
        <f>IFERROR(VLOOKUP(#REF!,#REF!, 3, FALSE), "")</f>
        <v/>
      </c>
      <c r="L85" t="str">
        <f>IFERROR(VLOOKUP(#REF!,#REF!, 4, FALSE), "")</f>
        <v/>
      </c>
      <c r="M85">
        <f t="shared" si="3"/>
        <v>0</v>
      </c>
      <c r="N85" t="e">
        <f t="shared" si="4"/>
        <v>#VALUE!</v>
      </c>
      <c r="O85" t="str">
        <f>IFERROR(VLOOKUP(#REF!, erp_leave!$A:$D, 2, FALSE), "")</f>
        <v/>
      </c>
      <c r="P85">
        <f t="shared" si="5"/>
        <v>0</v>
      </c>
    </row>
    <row r="86" spans="1:16">
      <c r="A86" s="5" t="str">
        <f>biometric!A86</f>
        <v>GCU030094</v>
      </c>
      <c r="B86" s="5" t="str">
        <f>biometric!B86</f>
        <v>Amit Basfore</v>
      </c>
      <c r="C86" s="5" t="str">
        <f>biometric!C86</f>
        <v>Cleaner</v>
      </c>
      <c r="D86" s="5" t="str">
        <f>biometric!D86</f>
        <v>Admin Non Teaching</v>
      </c>
      <c r="E86" s="7">
        <v>20</v>
      </c>
      <c r="F86" s="7"/>
      <c r="G86" t="str">
        <f>IFERROR(VLOOKUP(#REF!,#REF!, 6, FALSE), "")</f>
        <v/>
      </c>
      <c r="H86" t="str">
        <f>IFERROR(VLOOKUP(#REF!,#REF!, 7, FALSE), "")</f>
        <v/>
      </c>
      <c r="I86" t="str">
        <f>IFERROR(VLOOKUP(#REF!,#REF!, 14, FALSE), "")</f>
        <v/>
      </c>
      <c r="J86" t="str">
        <f>IFERROR(VLOOKUP(#REF!,#REF!, 2, FALSE), "")</f>
        <v/>
      </c>
      <c r="K86" t="str">
        <f>IFERROR(VLOOKUP(#REF!,#REF!, 3, FALSE), "")</f>
        <v/>
      </c>
      <c r="L86" t="str">
        <f>IFERROR(VLOOKUP(#REF!,#REF!, 4, FALSE), "")</f>
        <v/>
      </c>
      <c r="M86">
        <f t="shared" si="3"/>
        <v>0</v>
      </c>
      <c r="N86" t="e">
        <f t="shared" si="4"/>
        <v>#VALUE!</v>
      </c>
      <c r="O86" t="str">
        <f>IFERROR(VLOOKUP(#REF!, erp_leave!$A:$D, 2, FALSE), "")</f>
        <v/>
      </c>
      <c r="P86">
        <f t="shared" si="5"/>
        <v>0</v>
      </c>
    </row>
    <row r="87" spans="1:16">
      <c r="A87" s="5" t="str">
        <f>biometric!A87</f>
        <v>GCU030095</v>
      </c>
      <c r="B87" s="5" t="str">
        <f>biometric!B87</f>
        <v>Hemanti Basfor</v>
      </c>
      <c r="C87" s="5" t="str">
        <f>biometric!C87</f>
        <v>Cleaner</v>
      </c>
      <c r="D87" s="5" t="str">
        <f>biometric!D87</f>
        <v>Admin Non Teaching</v>
      </c>
      <c r="E87" s="7">
        <v>20</v>
      </c>
      <c r="F87" s="7"/>
      <c r="G87" t="str">
        <f>IFERROR(VLOOKUP(#REF!,#REF!, 6, FALSE), "")</f>
        <v/>
      </c>
      <c r="H87" t="str">
        <f>IFERROR(VLOOKUP(#REF!,#REF!, 7, FALSE), "")</f>
        <v/>
      </c>
      <c r="I87" t="str">
        <f>IFERROR(VLOOKUP(#REF!,#REF!, 14, FALSE), "")</f>
        <v/>
      </c>
      <c r="J87" t="str">
        <f>IFERROR(VLOOKUP(#REF!,#REF!, 2, FALSE), "")</f>
        <v/>
      </c>
      <c r="K87" t="str">
        <f>IFERROR(VLOOKUP(#REF!,#REF!, 3, FALSE), "")</f>
        <v/>
      </c>
      <c r="L87" t="str">
        <f>IFERROR(VLOOKUP(#REF!,#REF!, 4, FALSE), "")</f>
        <v/>
      </c>
      <c r="M87">
        <f t="shared" si="3"/>
        <v>0</v>
      </c>
      <c r="N87" t="e">
        <f t="shared" si="4"/>
        <v>#VALUE!</v>
      </c>
      <c r="O87" t="str">
        <f>IFERROR(VLOOKUP(#REF!, erp_leave!$A:$D, 2, FALSE), "")</f>
        <v/>
      </c>
      <c r="P87">
        <f t="shared" si="5"/>
        <v>0</v>
      </c>
    </row>
    <row r="88" spans="1:16" s="3" customFormat="1">
      <c r="A88" s="5" t="str">
        <f>biometric!A88</f>
        <v>GCU030096</v>
      </c>
      <c r="B88" s="5" t="str">
        <f>biometric!B88</f>
        <v>Kamal Das</v>
      </c>
      <c r="C88" s="5" t="str">
        <f>biometric!C88</f>
        <v>Non Teaching</v>
      </c>
      <c r="D88" s="5" t="str">
        <f>biometric!D88</f>
        <v>Admin Non Teaching</v>
      </c>
      <c r="E88" s="7">
        <v>20</v>
      </c>
      <c r="F88" s="7"/>
      <c r="G88" s="3" t="str">
        <f>IFERROR(VLOOKUP(#REF!,#REF!, 6, FALSE), "")</f>
        <v/>
      </c>
      <c r="H88" s="3" t="str">
        <f>IFERROR(VLOOKUP(#REF!,#REF!, 7, FALSE), "")</f>
        <v/>
      </c>
      <c r="I88" s="3" t="str">
        <f>IFERROR(VLOOKUP(#REF!,#REF!, 14, FALSE), "")</f>
        <v/>
      </c>
      <c r="J88" s="3" t="str">
        <f>IFERROR(VLOOKUP(#REF!,#REF!, 2, FALSE), "")</f>
        <v/>
      </c>
      <c r="K88" s="3" t="str">
        <f>IFERROR(VLOOKUP(#REF!,#REF!, 3, FALSE), "")</f>
        <v/>
      </c>
      <c r="L88" s="3" t="str">
        <f>IFERROR(VLOOKUP(#REF!,#REF!, 4, FALSE), "")</f>
        <v/>
      </c>
      <c r="M88" s="3">
        <f t="shared" si="3"/>
        <v>0</v>
      </c>
      <c r="N88" s="3" t="e">
        <f t="shared" si="4"/>
        <v>#VALUE!</v>
      </c>
      <c r="O88" s="3" t="str">
        <f>IFERROR(VLOOKUP(#REF!, erp_leave!$A:$D, 2, FALSE), "")</f>
        <v/>
      </c>
      <c r="P88" s="3">
        <f t="shared" si="5"/>
        <v>0</v>
      </c>
    </row>
    <row r="89" spans="1:16">
      <c r="A89" s="5" t="str">
        <f>biometric!A89</f>
        <v>GCU030099</v>
      </c>
      <c r="B89" s="5" t="str">
        <f>biometric!B89</f>
        <v>Girija Nath</v>
      </c>
      <c r="C89" s="5" t="str">
        <f>biometric!C89</f>
        <v>Non Teaching</v>
      </c>
      <c r="D89" s="5" t="str">
        <f>biometric!D89</f>
        <v>Admin Non Teaching</v>
      </c>
      <c r="E89" s="7">
        <v>20</v>
      </c>
      <c r="F89" s="7"/>
      <c r="G89" t="str">
        <f>IFERROR(VLOOKUP(#REF!,#REF!, 6, FALSE), "")</f>
        <v/>
      </c>
      <c r="H89" t="str">
        <f>IFERROR(VLOOKUP(#REF!,#REF!, 7, FALSE), "")</f>
        <v/>
      </c>
      <c r="I89" t="str">
        <f>IFERROR(VLOOKUP(#REF!,#REF!, 14, FALSE), "")</f>
        <v/>
      </c>
      <c r="J89" t="str">
        <f>IFERROR(VLOOKUP(#REF!,#REF!, 2, FALSE), "")</f>
        <v/>
      </c>
      <c r="K89" t="str">
        <f>IFERROR(VLOOKUP(#REF!,#REF!, 3, FALSE), "")</f>
        <v/>
      </c>
      <c r="L89" t="str">
        <f>IFERROR(VLOOKUP(#REF!,#REF!, 4, FALSE), "")</f>
        <v/>
      </c>
      <c r="M89">
        <f t="shared" si="3"/>
        <v>0</v>
      </c>
      <c r="N89" t="e">
        <f t="shared" si="4"/>
        <v>#VALUE!</v>
      </c>
      <c r="O89" t="str">
        <f>IFERROR(VLOOKUP(#REF!, erp_leave!$A:$D, 2, FALSE), "")</f>
        <v/>
      </c>
      <c r="P89">
        <f t="shared" si="5"/>
        <v>0</v>
      </c>
    </row>
    <row r="90" spans="1:16">
      <c r="A90" s="5" t="str">
        <f>biometric!A90</f>
        <v>GCU030100</v>
      </c>
      <c r="B90" s="5" t="str">
        <f>biometric!B90</f>
        <v>Sanjuma Begum</v>
      </c>
      <c r="C90" s="5" t="str">
        <f>biometric!C90</f>
        <v>Multitasking Assistant</v>
      </c>
      <c r="D90" s="5" t="str">
        <f>biometric!D90</f>
        <v>Admin Non Teaching</v>
      </c>
      <c r="E90" s="7">
        <v>20</v>
      </c>
      <c r="F90" s="7"/>
      <c r="G90" t="str">
        <f>IFERROR(VLOOKUP(#REF!,#REF!, 6, FALSE), "")</f>
        <v/>
      </c>
      <c r="H90" t="str">
        <f>IFERROR(VLOOKUP(#REF!,#REF!, 7, FALSE), "")</f>
        <v/>
      </c>
      <c r="I90" t="str">
        <f>IFERROR(VLOOKUP(#REF!,#REF!, 14, FALSE), "")</f>
        <v/>
      </c>
      <c r="J90" t="str">
        <f>IFERROR(VLOOKUP(#REF!,#REF!, 2, FALSE), "")</f>
        <v/>
      </c>
      <c r="K90" t="str">
        <f>IFERROR(VLOOKUP(#REF!,#REF!, 3, FALSE), "")</f>
        <v/>
      </c>
      <c r="L90" t="str">
        <f>IFERROR(VLOOKUP(#REF!,#REF!, 4, FALSE), "")</f>
        <v/>
      </c>
      <c r="M90">
        <f t="shared" si="3"/>
        <v>0</v>
      </c>
      <c r="N90" t="e">
        <f t="shared" si="4"/>
        <v>#VALUE!</v>
      </c>
      <c r="O90" t="str">
        <f>IFERROR(VLOOKUP(#REF!, erp_leave!$A:$D, 2, FALSE), "")</f>
        <v/>
      </c>
      <c r="P90">
        <f t="shared" si="5"/>
        <v>0</v>
      </c>
    </row>
    <row r="91" spans="1:16">
      <c r="A91" s="5" t="str">
        <f>biometric!A91</f>
        <v>GCU030102</v>
      </c>
      <c r="B91" s="5" t="str">
        <f>biometric!B91</f>
        <v>Jit Keleng</v>
      </c>
      <c r="C91" s="5" t="str">
        <f>biometric!C91</f>
        <v>Security Guard</v>
      </c>
      <c r="D91" s="5" t="str">
        <f>biometric!D91</f>
        <v>Admin Non Teaching</v>
      </c>
      <c r="E91" s="7">
        <v>20</v>
      </c>
      <c r="F91" s="7"/>
      <c r="G91" t="str">
        <f>IFERROR(VLOOKUP(#REF!,#REF!, 6, FALSE), "")</f>
        <v/>
      </c>
      <c r="H91" t="str">
        <f>IFERROR(VLOOKUP(#REF!,#REF!, 7, FALSE), "")</f>
        <v/>
      </c>
      <c r="I91" t="str">
        <f>IFERROR(VLOOKUP(#REF!,#REF!, 14, FALSE), "")</f>
        <v/>
      </c>
      <c r="J91" t="str">
        <f>IFERROR(VLOOKUP(#REF!,#REF!, 2, FALSE), "")</f>
        <v/>
      </c>
      <c r="K91" t="str">
        <f>IFERROR(VLOOKUP(#REF!,#REF!, 3, FALSE), "")</f>
        <v/>
      </c>
      <c r="L91" t="str">
        <f>IFERROR(VLOOKUP(#REF!,#REF!, 4, FALSE), "")</f>
        <v/>
      </c>
      <c r="M91">
        <f t="shared" si="3"/>
        <v>0</v>
      </c>
      <c r="N91" t="e">
        <f t="shared" si="4"/>
        <v>#VALUE!</v>
      </c>
      <c r="O91" t="str">
        <f>IFERROR(VLOOKUP(#REF!, erp_leave!$A:$D, 2, FALSE), "")</f>
        <v/>
      </c>
      <c r="P91">
        <f t="shared" si="5"/>
        <v>0</v>
      </c>
    </row>
    <row r="92" spans="1:16">
      <c r="A92" s="5" t="str">
        <f>biometric!A92</f>
        <v>GCU030103</v>
      </c>
      <c r="B92" s="5" t="str">
        <f>biometric!B92</f>
        <v>Apurba Das</v>
      </c>
      <c r="C92" s="5" t="str">
        <f>biometric!C92</f>
        <v>Non Teaching</v>
      </c>
      <c r="D92" s="5" t="str">
        <f>biometric!D92</f>
        <v>Admin Non Teaching</v>
      </c>
      <c r="E92" s="7">
        <v>20</v>
      </c>
      <c r="F92" s="7"/>
      <c r="G92" t="str">
        <f>IFERROR(VLOOKUP(#REF!,#REF!, 6, FALSE), "")</f>
        <v/>
      </c>
      <c r="H92" t="str">
        <f>IFERROR(VLOOKUP(#REF!,#REF!, 7, FALSE), "")</f>
        <v/>
      </c>
      <c r="I92" t="str">
        <f>IFERROR(VLOOKUP(#REF!,#REF!, 14, FALSE), "")</f>
        <v/>
      </c>
      <c r="J92" t="str">
        <f>IFERROR(VLOOKUP(#REF!,#REF!, 2, FALSE), "")</f>
        <v/>
      </c>
      <c r="K92" t="str">
        <f>IFERROR(VLOOKUP(#REF!,#REF!, 3, FALSE), "")</f>
        <v/>
      </c>
      <c r="L92" t="str">
        <f>IFERROR(VLOOKUP(#REF!,#REF!, 4, FALSE), "")</f>
        <v/>
      </c>
      <c r="M92">
        <f t="shared" si="3"/>
        <v>0</v>
      </c>
      <c r="N92" t="e">
        <f t="shared" si="4"/>
        <v>#VALUE!</v>
      </c>
      <c r="O92" t="str">
        <f>IFERROR(VLOOKUP(#REF!, erp_leave!$A:$D, 2, FALSE), "")</f>
        <v/>
      </c>
      <c r="P92">
        <f t="shared" si="5"/>
        <v>0</v>
      </c>
    </row>
    <row r="93" spans="1:16">
      <c r="A93" s="5" t="str">
        <f>biometric!A93</f>
        <v>GCU030104</v>
      </c>
      <c r="B93" s="5" t="str">
        <f>biometric!B93</f>
        <v>Amalesh Baruah</v>
      </c>
      <c r="C93" s="5" t="str">
        <f>biometric!C93</f>
        <v>System Administrator</v>
      </c>
      <c r="D93" s="5" t="str">
        <f>biometric!D93</f>
        <v>Admin Non Teaching</v>
      </c>
      <c r="E93" s="7">
        <v>20</v>
      </c>
      <c r="F93" s="7"/>
      <c r="G93" t="str">
        <f>IFERROR(VLOOKUP(#REF!,#REF!, 6, FALSE), "")</f>
        <v/>
      </c>
      <c r="H93" t="str">
        <f>IFERROR(VLOOKUP(#REF!,#REF!, 7, FALSE), "")</f>
        <v/>
      </c>
      <c r="I93" t="str">
        <f>IFERROR(VLOOKUP(#REF!,#REF!, 14, FALSE), "")</f>
        <v/>
      </c>
      <c r="J93" t="str">
        <f>IFERROR(VLOOKUP(#REF!,#REF!, 2, FALSE), "")</f>
        <v/>
      </c>
      <c r="K93" t="str">
        <f>IFERROR(VLOOKUP(#REF!,#REF!, 3, FALSE), "")</f>
        <v/>
      </c>
      <c r="L93" t="str">
        <f>IFERROR(VLOOKUP(#REF!,#REF!, 4, FALSE), "")</f>
        <v/>
      </c>
      <c r="M93">
        <f t="shared" si="3"/>
        <v>0</v>
      </c>
      <c r="N93" t="e">
        <f t="shared" si="4"/>
        <v>#VALUE!</v>
      </c>
      <c r="O93" t="str">
        <f>IFERROR(VLOOKUP(#REF!, erp_leave!$A:$D, 2, FALSE), "")</f>
        <v/>
      </c>
      <c r="P93">
        <f t="shared" si="5"/>
        <v>0</v>
      </c>
    </row>
    <row r="94" spans="1:16">
      <c r="A94" s="5" t="str">
        <f>biometric!A94</f>
        <v>GCU030105</v>
      </c>
      <c r="B94" s="5" t="str">
        <f>biometric!B94</f>
        <v>Pronita Das</v>
      </c>
      <c r="C94" s="5" t="str">
        <f>biometric!C94</f>
        <v>Non Teaching</v>
      </c>
      <c r="D94" s="5" t="str">
        <f>biometric!D94</f>
        <v>Admin Non Teaching</v>
      </c>
      <c r="E94" s="7">
        <v>20</v>
      </c>
      <c r="F94" s="7"/>
      <c r="G94" t="str">
        <f>IFERROR(VLOOKUP(#REF!,#REF!, 6, FALSE), "")</f>
        <v/>
      </c>
      <c r="H94" t="str">
        <f>IFERROR(VLOOKUP(#REF!,#REF!, 7, FALSE), "")</f>
        <v/>
      </c>
      <c r="I94" t="str">
        <f>IFERROR(VLOOKUP(#REF!,#REF!, 14, FALSE), "")</f>
        <v/>
      </c>
      <c r="J94" t="str">
        <f>IFERROR(VLOOKUP(#REF!,#REF!, 2, FALSE), "")</f>
        <v/>
      </c>
      <c r="K94" t="str">
        <f>IFERROR(VLOOKUP(#REF!,#REF!, 3, FALSE), "")</f>
        <v/>
      </c>
      <c r="L94" t="str">
        <f>IFERROR(VLOOKUP(#REF!,#REF!, 4, FALSE), "")</f>
        <v/>
      </c>
      <c r="M94">
        <f t="shared" si="3"/>
        <v>0</v>
      </c>
      <c r="N94" t="e">
        <f t="shared" si="4"/>
        <v>#VALUE!</v>
      </c>
      <c r="O94" t="str">
        <f>IFERROR(VLOOKUP(#REF!, erp_leave!$A:$D, 2, FALSE), "")</f>
        <v/>
      </c>
      <c r="P94">
        <f t="shared" si="5"/>
        <v>0</v>
      </c>
    </row>
    <row r="95" spans="1:16">
      <c r="A95" s="5" t="str">
        <f>biometric!A95</f>
        <v>GCU030107</v>
      </c>
      <c r="B95" s="5" t="str">
        <f>biometric!B95</f>
        <v>Diganta  Deka</v>
      </c>
      <c r="C95" s="5" t="str">
        <f>biometric!C95</f>
        <v>Non Teaching</v>
      </c>
      <c r="D95" s="5" t="str">
        <f>biometric!D95</f>
        <v>Admin Non Teaching</v>
      </c>
      <c r="E95" s="7">
        <v>20</v>
      </c>
      <c r="F95" s="7"/>
      <c r="G95" t="str">
        <f>IFERROR(VLOOKUP(#REF!,#REF!, 6, FALSE), "")</f>
        <v/>
      </c>
      <c r="H95" t="str">
        <f>IFERROR(VLOOKUP(#REF!,#REF!, 7, FALSE), "")</f>
        <v/>
      </c>
      <c r="I95" t="str">
        <f>IFERROR(VLOOKUP(#REF!,#REF!, 14, FALSE), "")</f>
        <v/>
      </c>
      <c r="J95" t="str">
        <f>IFERROR(VLOOKUP(#REF!,#REF!, 2, FALSE), "")</f>
        <v/>
      </c>
      <c r="K95" t="str">
        <f>IFERROR(VLOOKUP(#REF!,#REF!, 3, FALSE), "")</f>
        <v/>
      </c>
      <c r="L95" t="str">
        <f>IFERROR(VLOOKUP(#REF!,#REF!, 4, FALSE), "")</f>
        <v/>
      </c>
      <c r="M95">
        <f t="shared" si="3"/>
        <v>0</v>
      </c>
      <c r="N95" t="e">
        <f t="shared" si="4"/>
        <v>#VALUE!</v>
      </c>
      <c r="O95" t="str">
        <f>IFERROR(VLOOKUP(#REF!, erp_leave!$A:$D, 2, FALSE), "")</f>
        <v/>
      </c>
      <c r="P95">
        <f t="shared" si="5"/>
        <v>0</v>
      </c>
    </row>
    <row r="96" spans="1:16">
      <c r="A96" s="5" t="str">
        <f>biometric!A96</f>
        <v>GCU030108</v>
      </c>
      <c r="B96" s="5" t="str">
        <f>biometric!B96</f>
        <v>Dipankar Baruah</v>
      </c>
      <c r="C96" s="5" t="str">
        <f>biometric!C96</f>
        <v>Non Teaching</v>
      </c>
      <c r="D96" s="5" t="str">
        <f>biometric!D96</f>
        <v>Admin Non Teaching</v>
      </c>
      <c r="E96" s="7">
        <v>20</v>
      </c>
      <c r="F96" s="7"/>
      <c r="G96" t="str">
        <f>IFERROR(VLOOKUP(#REF!,#REF!, 6, FALSE), "")</f>
        <v/>
      </c>
      <c r="H96" t="str">
        <f>IFERROR(VLOOKUP(#REF!,#REF!, 7, FALSE), "")</f>
        <v/>
      </c>
      <c r="I96" t="str">
        <f>IFERROR(VLOOKUP(#REF!,#REF!, 14, FALSE), "")</f>
        <v/>
      </c>
      <c r="J96" t="str">
        <f>IFERROR(VLOOKUP(#REF!,#REF!, 2, FALSE), "")</f>
        <v/>
      </c>
      <c r="K96" t="str">
        <f>IFERROR(VLOOKUP(#REF!,#REF!, 3, FALSE), "")</f>
        <v/>
      </c>
      <c r="L96" t="str">
        <f>IFERROR(VLOOKUP(#REF!,#REF!, 4, FALSE), "")</f>
        <v/>
      </c>
      <c r="M96">
        <f t="shared" si="3"/>
        <v>0</v>
      </c>
      <c r="N96" t="e">
        <f t="shared" si="4"/>
        <v>#VALUE!</v>
      </c>
      <c r="O96" t="str">
        <f>IFERROR(VLOOKUP(#REF!, erp_leave!$A:$D, 2, FALSE), "")</f>
        <v/>
      </c>
      <c r="P96">
        <f t="shared" si="5"/>
        <v>0</v>
      </c>
    </row>
    <row r="97" spans="1:16">
      <c r="A97" s="5" t="str">
        <f>biometric!A97</f>
        <v>GCU030109</v>
      </c>
      <c r="B97" s="5" t="str">
        <f>biometric!B97</f>
        <v>Rina Deka</v>
      </c>
      <c r="C97" s="5" t="str">
        <f>biometric!C97</f>
        <v>Cleaner</v>
      </c>
      <c r="D97" s="5" t="str">
        <f>biometric!D97</f>
        <v>Admin Non Teaching</v>
      </c>
      <c r="E97" s="7">
        <v>20</v>
      </c>
      <c r="F97" s="7"/>
      <c r="G97" t="str">
        <f>IFERROR(VLOOKUP(#REF!,#REF!, 6, FALSE), "")</f>
        <v/>
      </c>
      <c r="H97" t="str">
        <f>IFERROR(VLOOKUP(#REF!,#REF!, 7, FALSE), "")</f>
        <v/>
      </c>
      <c r="I97" t="str">
        <f>IFERROR(VLOOKUP(#REF!,#REF!, 14, FALSE), "")</f>
        <v/>
      </c>
      <c r="J97" t="str">
        <f>IFERROR(VLOOKUP(#REF!,#REF!, 2, FALSE), "")</f>
        <v/>
      </c>
      <c r="K97" t="str">
        <f>IFERROR(VLOOKUP(#REF!,#REF!, 3, FALSE), "")</f>
        <v/>
      </c>
      <c r="L97" t="str">
        <f>IFERROR(VLOOKUP(#REF!,#REF!, 4, FALSE), "")</f>
        <v/>
      </c>
      <c r="M97">
        <f t="shared" si="3"/>
        <v>0</v>
      </c>
      <c r="N97" t="e">
        <f t="shared" si="4"/>
        <v>#VALUE!</v>
      </c>
      <c r="O97" t="str">
        <f>IFERROR(VLOOKUP(#REF!, erp_leave!$A:$D, 2, FALSE), "")</f>
        <v/>
      </c>
      <c r="P97">
        <f t="shared" si="5"/>
        <v>0</v>
      </c>
    </row>
    <row r="98" spans="1:16">
      <c r="A98" s="5" t="str">
        <f>biometric!A98</f>
        <v>GCU030110</v>
      </c>
      <c r="B98" s="5" t="str">
        <f>biometric!B98</f>
        <v>Paresh Das</v>
      </c>
      <c r="C98" s="5" t="str">
        <f>biometric!C98</f>
        <v>Security Guard</v>
      </c>
      <c r="D98" s="5" t="str">
        <f>biometric!D98</f>
        <v>Admin Non Teaching</v>
      </c>
      <c r="E98" s="7">
        <v>20</v>
      </c>
      <c r="F98" s="7"/>
      <c r="G98" t="str">
        <f>IFERROR(VLOOKUP(#REF!,#REF!, 6, FALSE), "")</f>
        <v/>
      </c>
      <c r="H98" t="str">
        <f>IFERROR(VLOOKUP(#REF!,#REF!, 7, FALSE), "")</f>
        <v/>
      </c>
      <c r="I98" t="str">
        <f>IFERROR(VLOOKUP(#REF!,#REF!, 14, FALSE), "")</f>
        <v/>
      </c>
      <c r="J98" t="str">
        <f>IFERROR(VLOOKUP(#REF!,#REF!, 2, FALSE), "")</f>
        <v/>
      </c>
      <c r="K98" t="str">
        <f>IFERROR(VLOOKUP(#REF!,#REF!, 3, FALSE), "")</f>
        <v/>
      </c>
      <c r="L98" t="str">
        <f>IFERROR(VLOOKUP(#REF!,#REF!, 4, FALSE), "")</f>
        <v/>
      </c>
      <c r="M98">
        <f t="shared" si="3"/>
        <v>0</v>
      </c>
      <c r="N98" t="e">
        <f t="shared" si="4"/>
        <v>#VALUE!</v>
      </c>
      <c r="O98" t="str">
        <f>IFERROR(VLOOKUP(#REF!, erp_leave!$A:$D, 2, FALSE), "")</f>
        <v/>
      </c>
      <c r="P98">
        <f t="shared" si="5"/>
        <v>0</v>
      </c>
    </row>
    <row r="99" spans="1:16">
      <c r="A99" s="5" t="str">
        <f>biometric!A99</f>
        <v>GCU030111</v>
      </c>
      <c r="B99" s="5" t="str">
        <f>biometric!B99</f>
        <v>Ratan Baishya</v>
      </c>
      <c r="C99" s="5" t="str">
        <f>biometric!C99</f>
        <v>Lab assistant</v>
      </c>
      <c r="D99" s="5" t="str">
        <f>biometric!D99</f>
        <v>Admin Non Teaching</v>
      </c>
      <c r="E99" s="7">
        <v>20</v>
      </c>
      <c r="F99" s="7"/>
      <c r="G99" t="str">
        <f>IFERROR(VLOOKUP(#REF!,#REF!, 6, FALSE), "")</f>
        <v/>
      </c>
      <c r="H99" t="str">
        <f>IFERROR(VLOOKUP(#REF!,#REF!, 7, FALSE), "")</f>
        <v/>
      </c>
      <c r="I99" t="str">
        <f>IFERROR(VLOOKUP(#REF!,#REF!, 14, FALSE), "")</f>
        <v/>
      </c>
      <c r="J99" t="str">
        <f>IFERROR(VLOOKUP(#REF!,#REF!, 2, FALSE), "")</f>
        <v/>
      </c>
      <c r="K99" t="str">
        <f>IFERROR(VLOOKUP(#REF!,#REF!, 3, FALSE), "")</f>
        <v/>
      </c>
      <c r="L99" t="str">
        <f>IFERROR(VLOOKUP(#REF!,#REF!, 4, FALSE), "")</f>
        <v/>
      </c>
      <c r="M99">
        <f t="shared" si="3"/>
        <v>0</v>
      </c>
      <c r="N99" t="e">
        <f t="shared" si="4"/>
        <v>#VALUE!</v>
      </c>
      <c r="O99" t="str">
        <f>IFERROR(VLOOKUP(#REF!, erp_leave!$A:$D, 2, FALSE), "")</f>
        <v/>
      </c>
      <c r="P99">
        <f t="shared" si="5"/>
        <v>0</v>
      </c>
    </row>
    <row r="100" spans="1:16">
      <c r="A100" s="5" t="str">
        <f>biometric!A100</f>
        <v>GCU030112</v>
      </c>
      <c r="B100" s="5" t="str">
        <f>biometric!B100</f>
        <v>Rumi Begum</v>
      </c>
      <c r="C100" s="5" t="str">
        <f>biometric!C100</f>
        <v>Non Teaching</v>
      </c>
      <c r="D100" s="5" t="str">
        <f>biometric!D100</f>
        <v>Admin Non Teaching</v>
      </c>
      <c r="E100" s="7">
        <v>20</v>
      </c>
      <c r="F100" s="7"/>
      <c r="G100" t="str">
        <f>IFERROR(VLOOKUP(#REF!,#REF!, 6, FALSE), "")</f>
        <v/>
      </c>
      <c r="H100" t="str">
        <f>IFERROR(VLOOKUP(#REF!,#REF!, 7, FALSE), "")</f>
        <v/>
      </c>
      <c r="I100" t="str">
        <f>IFERROR(VLOOKUP(#REF!,#REF!, 14, FALSE), "")</f>
        <v/>
      </c>
      <c r="J100" t="str">
        <f>IFERROR(VLOOKUP(#REF!,#REF!, 2, FALSE), "")</f>
        <v/>
      </c>
      <c r="K100" t="str">
        <f>IFERROR(VLOOKUP(#REF!,#REF!, 3, FALSE), "")</f>
        <v/>
      </c>
      <c r="L100" t="str">
        <f>IFERROR(VLOOKUP(#REF!,#REF!, 4, FALSE), "")</f>
        <v/>
      </c>
      <c r="M100">
        <f t="shared" si="3"/>
        <v>0</v>
      </c>
      <c r="N100" t="e">
        <f t="shared" si="4"/>
        <v>#VALUE!</v>
      </c>
      <c r="O100" t="str">
        <f>IFERROR(VLOOKUP(#REF!, erp_leave!$A:$D, 2, FALSE), "")</f>
        <v/>
      </c>
      <c r="P100">
        <f t="shared" si="5"/>
        <v>0</v>
      </c>
    </row>
    <row r="101" spans="1:16">
      <c r="A101" s="5" t="str">
        <f>biometric!A101</f>
        <v>GCU030113</v>
      </c>
      <c r="B101" s="5" t="str">
        <f>biometric!B101</f>
        <v>Simanta Thakuria</v>
      </c>
      <c r="C101" s="5" t="str">
        <f>biometric!C101</f>
        <v>Non Teaching</v>
      </c>
      <c r="D101" s="5" t="str">
        <f>biometric!D101</f>
        <v>Admin Non Teaching</v>
      </c>
      <c r="E101" s="7">
        <v>20</v>
      </c>
      <c r="F101" s="7"/>
      <c r="G101" t="str">
        <f>IFERROR(VLOOKUP(#REF!,#REF!, 6, FALSE), "")</f>
        <v/>
      </c>
      <c r="H101" t="str">
        <f>IFERROR(VLOOKUP(#REF!,#REF!, 7, FALSE), "")</f>
        <v/>
      </c>
      <c r="I101" t="str">
        <f>IFERROR(VLOOKUP(#REF!,#REF!, 14, FALSE), "")</f>
        <v/>
      </c>
      <c r="J101" t="str">
        <f>IFERROR(VLOOKUP(#REF!,#REF!, 2, FALSE), "")</f>
        <v/>
      </c>
      <c r="K101" t="str">
        <f>IFERROR(VLOOKUP(#REF!,#REF!, 3, FALSE), "")</f>
        <v/>
      </c>
      <c r="L101" t="str">
        <f>IFERROR(VLOOKUP(#REF!,#REF!, 4, FALSE), "")</f>
        <v/>
      </c>
      <c r="M101">
        <f t="shared" si="3"/>
        <v>0</v>
      </c>
      <c r="N101" t="e">
        <f t="shared" si="4"/>
        <v>#VALUE!</v>
      </c>
      <c r="O101" t="str">
        <f>IFERROR(VLOOKUP(#REF!, erp_leave!$A:$D, 2, FALSE), "")</f>
        <v/>
      </c>
      <c r="P101">
        <f t="shared" si="5"/>
        <v>0</v>
      </c>
    </row>
    <row r="102" spans="1:16">
      <c r="A102" s="5" t="str">
        <f>biometric!A102</f>
        <v>GCU030114</v>
      </c>
      <c r="B102" s="5" t="str">
        <f>biometric!B102</f>
        <v>Deepa  Das</v>
      </c>
      <c r="C102" s="5" t="str">
        <f>biometric!C102</f>
        <v>Non Teaching</v>
      </c>
      <c r="D102" s="5" t="str">
        <f>biometric!D102</f>
        <v>Admin Non Teaching</v>
      </c>
      <c r="E102" s="7">
        <v>20</v>
      </c>
      <c r="F102" s="7"/>
      <c r="G102" t="str">
        <f>IFERROR(VLOOKUP(#REF!,#REF!, 6, FALSE), "")</f>
        <v/>
      </c>
      <c r="H102" t="str">
        <f>IFERROR(VLOOKUP(#REF!,#REF!, 7, FALSE), "")</f>
        <v/>
      </c>
      <c r="I102" t="str">
        <f>IFERROR(VLOOKUP(#REF!,#REF!, 14, FALSE), "")</f>
        <v/>
      </c>
      <c r="J102" t="str">
        <f>IFERROR(VLOOKUP(#REF!,#REF!, 2, FALSE), "")</f>
        <v/>
      </c>
      <c r="K102" t="str">
        <f>IFERROR(VLOOKUP(#REF!,#REF!, 3, FALSE), "")</f>
        <v/>
      </c>
      <c r="L102" t="str">
        <f>IFERROR(VLOOKUP(#REF!,#REF!, 4, FALSE), "")</f>
        <v/>
      </c>
      <c r="M102">
        <f t="shared" si="3"/>
        <v>0</v>
      </c>
      <c r="N102" t="e">
        <f t="shared" si="4"/>
        <v>#VALUE!</v>
      </c>
      <c r="O102" t="str">
        <f>IFERROR(VLOOKUP(#REF!, erp_leave!$A:$D, 2, FALSE), "")</f>
        <v/>
      </c>
      <c r="P102">
        <f t="shared" si="5"/>
        <v>0</v>
      </c>
    </row>
    <row r="103" spans="1:16">
      <c r="A103" s="5" t="str">
        <f>biometric!A103</f>
        <v>GCU030115</v>
      </c>
      <c r="B103" s="5" t="str">
        <f>biometric!B103</f>
        <v>Md Siddik Ali</v>
      </c>
      <c r="C103" s="5" t="str">
        <f>biometric!C103</f>
        <v>Security Guard</v>
      </c>
      <c r="D103" s="5" t="str">
        <f>biometric!D103</f>
        <v>Admin Non Teaching</v>
      </c>
      <c r="E103" s="7">
        <v>20</v>
      </c>
      <c r="F103" s="7"/>
      <c r="G103" t="str">
        <f>IFERROR(VLOOKUP(#REF!,#REF!, 6, FALSE), "")</f>
        <v/>
      </c>
      <c r="H103" t="str">
        <f>IFERROR(VLOOKUP(#REF!,#REF!, 7, FALSE), "")</f>
        <v/>
      </c>
      <c r="I103" t="str">
        <f>IFERROR(VLOOKUP(#REF!,#REF!, 14, FALSE), "")</f>
        <v/>
      </c>
      <c r="J103" t="str">
        <f>IFERROR(VLOOKUP(#REF!,#REF!, 2, FALSE), "")</f>
        <v/>
      </c>
      <c r="K103" t="str">
        <f>IFERROR(VLOOKUP(#REF!,#REF!, 3, FALSE), "")</f>
        <v/>
      </c>
      <c r="L103" t="str">
        <f>IFERROR(VLOOKUP(#REF!,#REF!, 4, FALSE), "")</f>
        <v/>
      </c>
      <c r="M103">
        <f t="shared" si="3"/>
        <v>0</v>
      </c>
      <c r="N103" t="e">
        <f t="shared" si="4"/>
        <v>#VALUE!</v>
      </c>
      <c r="O103" t="str">
        <f>IFERROR(VLOOKUP(#REF!, erp_leave!$A:$D, 2, FALSE), "")</f>
        <v/>
      </c>
      <c r="P103">
        <f t="shared" si="5"/>
        <v>0</v>
      </c>
    </row>
    <row r="104" spans="1:16">
      <c r="A104" s="5" t="str">
        <f>biometric!A104</f>
        <v>GCU030116</v>
      </c>
      <c r="B104" s="5" t="str">
        <f>biometric!B104</f>
        <v>Khalil Ali</v>
      </c>
      <c r="C104" s="5" t="str">
        <f>biometric!C104</f>
        <v>Non Teaching</v>
      </c>
      <c r="D104" s="5" t="str">
        <f>biometric!D104</f>
        <v>Admin Non Teaching</v>
      </c>
      <c r="E104" s="7">
        <v>20</v>
      </c>
      <c r="F104" s="7"/>
      <c r="G104" t="str">
        <f>IFERROR(VLOOKUP(#REF!,#REF!, 6, FALSE), "")</f>
        <v/>
      </c>
      <c r="H104" t="str">
        <f>IFERROR(VLOOKUP(#REF!,#REF!, 7, FALSE), "")</f>
        <v/>
      </c>
      <c r="I104" t="str">
        <f>IFERROR(VLOOKUP(#REF!,#REF!, 14, FALSE), "")</f>
        <v/>
      </c>
      <c r="J104" t="str">
        <f>IFERROR(VLOOKUP(#REF!,#REF!, 2, FALSE), "")</f>
        <v/>
      </c>
      <c r="K104" t="str">
        <f>IFERROR(VLOOKUP(#REF!,#REF!, 3, FALSE), "")</f>
        <v/>
      </c>
      <c r="L104" t="str">
        <f>IFERROR(VLOOKUP(#REF!,#REF!, 4, FALSE), "")</f>
        <v/>
      </c>
      <c r="M104">
        <f t="shared" si="3"/>
        <v>0</v>
      </c>
      <c r="N104" t="e">
        <f t="shared" si="4"/>
        <v>#VALUE!</v>
      </c>
      <c r="O104" t="str">
        <f>IFERROR(VLOOKUP(#REF!, erp_leave!$A:$D, 2, FALSE), "")</f>
        <v/>
      </c>
      <c r="P104">
        <f t="shared" si="5"/>
        <v>0</v>
      </c>
    </row>
    <row r="105" spans="1:16">
      <c r="A105" s="5" t="str">
        <f>biometric!A105</f>
        <v>GCU030120</v>
      </c>
      <c r="B105" s="5" t="str">
        <f>biometric!B105</f>
        <v>Churiya Begum</v>
      </c>
      <c r="C105" s="5" t="str">
        <f>biometric!C105</f>
        <v>Cleaner</v>
      </c>
      <c r="D105" s="5" t="str">
        <f>biometric!D105</f>
        <v>Admin Non Teaching</v>
      </c>
      <c r="E105" s="7">
        <v>20</v>
      </c>
      <c r="F105" s="7"/>
      <c r="G105" t="str">
        <f>IFERROR(VLOOKUP(#REF!,#REF!, 6, FALSE), "")</f>
        <v/>
      </c>
      <c r="H105" t="str">
        <f>IFERROR(VLOOKUP(#REF!,#REF!, 7, FALSE), "")</f>
        <v/>
      </c>
      <c r="I105" t="str">
        <f>IFERROR(VLOOKUP(#REF!,#REF!, 14, FALSE), "")</f>
        <v/>
      </c>
      <c r="J105" t="str">
        <f>IFERROR(VLOOKUP(#REF!,#REF!, 2, FALSE), "")</f>
        <v/>
      </c>
      <c r="K105" t="str">
        <f>IFERROR(VLOOKUP(#REF!,#REF!, 3, FALSE), "")</f>
        <v/>
      </c>
      <c r="L105" t="str">
        <f>IFERROR(VLOOKUP(#REF!,#REF!, 4, FALSE), "")</f>
        <v/>
      </c>
      <c r="M105">
        <f t="shared" si="3"/>
        <v>0</v>
      </c>
      <c r="N105" t="e">
        <f t="shared" si="4"/>
        <v>#VALUE!</v>
      </c>
      <c r="O105" t="str">
        <f>IFERROR(VLOOKUP(#REF!, erp_leave!$A:$D, 2, FALSE), "")</f>
        <v/>
      </c>
      <c r="P105">
        <f t="shared" si="5"/>
        <v>0</v>
      </c>
    </row>
    <row r="106" spans="1:16">
      <c r="A106" s="5" t="str">
        <f>biometric!A106</f>
        <v>GCU030122</v>
      </c>
      <c r="B106" s="5" t="str">
        <f>biometric!B106</f>
        <v>Bandana Kalita</v>
      </c>
      <c r="C106" s="5" t="str">
        <f>biometric!C106</f>
        <v>Non Teaching</v>
      </c>
      <c r="D106" s="5" t="str">
        <f>biometric!D106</f>
        <v>Admin Non Teaching</v>
      </c>
      <c r="E106" s="7">
        <v>20</v>
      </c>
      <c r="F106" s="7"/>
      <c r="G106" t="str">
        <f>IFERROR(VLOOKUP(#REF!,#REF!, 6, FALSE), "")</f>
        <v/>
      </c>
      <c r="H106" t="str">
        <f>IFERROR(VLOOKUP(#REF!,#REF!, 7, FALSE), "")</f>
        <v/>
      </c>
      <c r="I106" t="str">
        <f>IFERROR(VLOOKUP(#REF!,#REF!, 14, FALSE), "")</f>
        <v/>
      </c>
      <c r="J106" t="str">
        <f>IFERROR(VLOOKUP(#REF!,#REF!, 2, FALSE), "")</f>
        <v/>
      </c>
      <c r="K106" t="str">
        <f>IFERROR(VLOOKUP(#REF!,#REF!, 3, FALSE), "")</f>
        <v/>
      </c>
      <c r="L106" t="str">
        <f>IFERROR(VLOOKUP(#REF!,#REF!, 4, FALSE), "")</f>
        <v/>
      </c>
      <c r="M106">
        <f t="shared" si="3"/>
        <v>0</v>
      </c>
      <c r="N106" t="e">
        <f t="shared" si="4"/>
        <v>#VALUE!</v>
      </c>
      <c r="O106" t="str">
        <f>IFERROR(VLOOKUP(#REF!, erp_leave!$A:$D, 2, FALSE), "")</f>
        <v/>
      </c>
      <c r="P106">
        <f t="shared" si="5"/>
        <v>0</v>
      </c>
    </row>
    <row r="107" spans="1:16">
      <c r="A107" s="5" t="str">
        <f>biometric!A107</f>
        <v>GCU030123</v>
      </c>
      <c r="B107" s="5" t="str">
        <f>biometric!B107</f>
        <v>Sumit Basfor</v>
      </c>
      <c r="C107" s="5" t="str">
        <f>biometric!C107</f>
        <v>Cleaner</v>
      </c>
      <c r="D107" s="5" t="str">
        <f>biometric!D107</f>
        <v>Admin Non Teaching</v>
      </c>
      <c r="E107" s="7">
        <v>20</v>
      </c>
      <c r="F107" s="7"/>
      <c r="G107" t="str">
        <f>IFERROR(VLOOKUP(#REF!,#REF!, 6, FALSE), "")</f>
        <v/>
      </c>
      <c r="H107" t="str">
        <f>IFERROR(VLOOKUP(#REF!,#REF!, 7, FALSE), "")</f>
        <v/>
      </c>
      <c r="I107" t="str">
        <f>IFERROR(VLOOKUP(#REF!,#REF!, 14, FALSE), "")</f>
        <v/>
      </c>
      <c r="J107" t="str">
        <f>IFERROR(VLOOKUP(#REF!,#REF!, 2, FALSE), "")</f>
        <v/>
      </c>
      <c r="K107" t="str">
        <f>IFERROR(VLOOKUP(#REF!,#REF!, 3, FALSE), "")</f>
        <v/>
      </c>
      <c r="L107" t="str">
        <f>IFERROR(VLOOKUP(#REF!,#REF!, 4, FALSE), "")</f>
        <v/>
      </c>
      <c r="M107">
        <f t="shared" si="3"/>
        <v>0</v>
      </c>
      <c r="N107" t="e">
        <f t="shared" si="4"/>
        <v>#VALUE!</v>
      </c>
      <c r="O107" t="str">
        <f>IFERROR(VLOOKUP(#REF!, erp_leave!$A:$D, 2, FALSE), "")</f>
        <v/>
      </c>
      <c r="P107">
        <f t="shared" si="5"/>
        <v>0</v>
      </c>
    </row>
    <row r="108" spans="1:16">
      <c r="A108" s="5" t="str">
        <f>biometric!A108</f>
        <v>GCU030126</v>
      </c>
      <c r="B108" s="5" t="str">
        <f>biometric!B108</f>
        <v>Rita Das</v>
      </c>
      <c r="C108" s="5" t="str">
        <f>biometric!C108</f>
        <v>Non Teaching</v>
      </c>
      <c r="D108" s="5" t="str">
        <f>biometric!D108</f>
        <v>Admin Non Teaching</v>
      </c>
      <c r="E108" s="7">
        <v>20</v>
      </c>
      <c r="F108" s="7"/>
      <c r="G108" t="str">
        <f>IFERROR(VLOOKUP(#REF!,#REF!, 6, FALSE), "")</f>
        <v/>
      </c>
      <c r="H108" t="str">
        <f>IFERROR(VLOOKUP(#REF!,#REF!, 7, FALSE), "")</f>
        <v/>
      </c>
      <c r="I108" t="str">
        <f>IFERROR(VLOOKUP(#REF!,#REF!, 14, FALSE), "")</f>
        <v/>
      </c>
      <c r="J108" t="str">
        <f>IFERROR(VLOOKUP(#REF!,#REF!, 2, FALSE), "")</f>
        <v/>
      </c>
      <c r="K108" t="str">
        <f>IFERROR(VLOOKUP(#REF!,#REF!, 3, FALSE), "")</f>
        <v/>
      </c>
      <c r="L108" t="str">
        <f>IFERROR(VLOOKUP(#REF!,#REF!, 4, FALSE), "")</f>
        <v/>
      </c>
      <c r="M108">
        <f t="shared" si="3"/>
        <v>0</v>
      </c>
      <c r="N108" t="e">
        <f t="shared" si="4"/>
        <v>#VALUE!</v>
      </c>
      <c r="O108" t="str">
        <f>IFERROR(VLOOKUP(#REF!, erp_leave!$A:$D, 2, FALSE), "")</f>
        <v/>
      </c>
      <c r="P108">
        <f t="shared" si="5"/>
        <v>0</v>
      </c>
    </row>
    <row r="109" spans="1:16">
      <c r="A109" s="5" t="str">
        <f>biometric!A109</f>
        <v>GCU030127</v>
      </c>
      <c r="B109" s="5" t="str">
        <f>biometric!B109</f>
        <v>Safiqul Haque</v>
      </c>
      <c r="C109" s="5" t="str">
        <f>biometric!C109</f>
        <v>Security Guard</v>
      </c>
      <c r="D109" s="5" t="str">
        <f>biometric!D109</f>
        <v>Admin Non Teaching</v>
      </c>
      <c r="E109" s="7">
        <v>20</v>
      </c>
      <c r="F109" s="7"/>
      <c r="G109" t="str">
        <f>IFERROR(VLOOKUP(#REF!,#REF!, 6, FALSE), "")</f>
        <v/>
      </c>
      <c r="H109" t="str">
        <f>IFERROR(VLOOKUP(#REF!,#REF!, 7, FALSE), "")</f>
        <v/>
      </c>
      <c r="I109" t="str">
        <f>IFERROR(VLOOKUP(#REF!,#REF!, 14, FALSE), "")</f>
        <v/>
      </c>
      <c r="J109" t="str">
        <f>IFERROR(VLOOKUP(#REF!,#REF!, 2, FALSE), "")</f>
        <v/>
      </c>
      <c r="K109" t="str">
        <f>IFERROR(VLOOKUP(#REF!,#REF!, 3, FALSE), "")</f>
        <v/>
      </c>
      <c r="L109" t="str">
        <f>IFERROR(VLOOKUP(#REF!,#REF!, 4, FALSE), "")</f>
        <v/>
      </c>
      <c r="M109">
        <f t="shared" si="3"/>
        <v>0</v>
      </c>
      <c r="N109" t="e">
        <f t="shared" si="4"/>
        <v>#VALUE!</v>
      </c>
      <c r="O109" t="str">
        <f>IFERROR(VLOOKUP(#REF!, erp_leave!$A:$D, 2, FALSE), "")</f>
        <v/>
      </c>
      <c r="P109">
        <f t="shared" si="5"/>
        <v>0</v>
      </c>
    </row>
    <row r="110" spans="1:16">
      <c r="A110" s="5" t="str">
        <f>biometric!A110</f>
        <v>GCU030128</v>
      </c>
      <c r="B110" s="5" t="str">
        <f>biometric!B110</f>
        <v>Dilip Kumar Das</v>
      </c>
      <c r="C110" s="5" t="str">
        <f>biometric!C110</f>
        <v>Non Teaching</v>
      </c>
      <c r="D110" s="5" t="str">
        <f>biometric!D110</f>
        <v>Admin Non Teaching</v>
      </c>
      <c r="E110" s="7">
        <v>20</v>
      </c>
      <c r="F110" s="7"/>
      <c r="G110" t="str">
        <f>IFERROR(VLOOKUP(#REF!,#REF!, 6, FALSE), "")</f>
        <v/>
      </c>
      <c r="H110" t="str">
        <f>IFERROR(VLOOKUP(#REF!,#REF!, 7, FALSE), "")</f>
        <v/>
      </c>
      <c r="I110" t="str">
        <f>IFERROR(VLOOKUP(#REF!,#REF!, 14, FALSE), "")</f>
        <v/>
      </c>
      <c r="J110" t="str">
        <f>IFERROR(VLOOKUP(#REF!,#REF!, 2, FALSE), "")</f>
        <v/>
      </c>
      <c r="K110" t="str">
        <f>IFERROR(VLOOKUP(#REF!,#REF!, 3, FALSE), "")</f>
        <v/>
      </c>
      <c r="L110" t="str">
        <f>IFERROR(VLOOKUP(#REF!,#REF!, 4, FALSE), "")</f>
        <v/>
      </c>
      <c r="M110">
        <f t="shared" si="3"/>
        <v>0</v>
      </c>
      <c r="N110" t="e">
        <f t="shared" si="4"/>
        <v>#VALUE!</v>
      </c>
      <c r="O110" t="str">
        <f>IFERROR(VLOOKUP(#REF!, erp_leave!$A:$D, 2, FALSE), "")</f>
        <v/>
      </c>
      <c r="P110">
        <f t="shared" si="5"/>
        <v>0</v>
      </c>
    </row>
    <row r="111" spans="1:16">
      <c r="A111" s="5" t="str">
        <f>biometric!A111</f>
        <v>GCU030130</v>
      </c>
      <c r="B111" s="5" t="str">
        <f>biometric!B111</f>
        <v>Md Jamser Ali</v>
      </c>
      <c r="C111" s="5" t="str">
        <f>biometric!C111</f>
        <v>Driver</v>
      </c>
      <c r="D111" s="5" t="str">
        <f>biometric!D111</f>
        <v>Admin Non Teaching</v>
      </c>
      <c r="E111" s="7">
        <v>20</v>
      </c>
      <c r="F111" s="7"/>
      <c r="G111" t="str">
        <f>IFERROR(VLOOKUP(#REF!,#REF!, 6, FALSE), "")</f>
        <v/>
      </c>
      <c r="H111" t="str">
        <f>IFERROR(VLOOKUP(#REF!,#REF!, 7, FALSE), "")</f>
        <v/>
      </c>
      <c r="I111" t="str">
        <f>IFERROR(VLOOKUP(#REF!,#REF!, 14, FALSE), "")</f>
        <v/>
      </c>
      <c r="J111" t="str">
        <f>IFERROR(VLOOKUP(#REF!,#REF!, 2, FALSE), "")</f>
        <v/>
      </c>
      <c r="K111" t="str">
        <f>IFERROR(VLOOKUP(#REF!,#REF!, 3, FALSE), "")</f>
        <v/>
      </c>
      <c r="L111" t="str">
        <f>IFERROR(VLOOKUP(#REF!,#REF!, 4, FALSE), "")</f>
        <v/>
      </c>
      <c r="M111">
        <f t="shared" si="3"/>
        <v>0</v>
      </c>
      <c r="N111" t="e">
        <f t="shared" si="4"/>
        <v>#VALUE!</v>
      </c>
      <c r="O111" t="str">
        <f>IFERROR(VLOOKUP(#REF!, erp_leave!$A:$D, 2, FALSE), "")</f>
        <v/>
      </c>
      <c r="P111">
        <f t="shared" si="5"/>
        <v>0</v>
      </c>
    </row>
    <row r="112" spans="1:16">
      <c r="A112" s="5" t="str">
        <f>biometric!A112</f>
        <v>GCU030133</v>
      </c>
      <c r="B112" s="5" t="str">
        <f>biometric!B112</f>
        <v>Ajit Ch. Phukan</v>
      </c>
      <c r="C112" s="5" t="str">
        <f>biometric!C112</f>
        <v>Non Teaching</v>
      </c>
      <c r="D112" s="5" t="str">
        <f>biometric!D112</f>
        <v>Admin Non Teaching</v>
      </c>
      <c r="E112" s="7">
        <v>20</v>
      </c>
      <c r="F112" s="7"/>
      <c r="G112" t="str">
        <f>IFERROR(VLOOKUP(#REF!,#REF!, 6, FALSE), "")</f>
        <v/>
      </c>
      <c r="H112" t="str">
        <f>IFERROR(VLOOKUP(#REF!,#REF!, 7, FALSE), "")</f>
        <v/>
      </c>
      <c r="I112" t="str">
        <f>IFERROR(VLOOKUP(#REF!,#REF!, 14, FALSE), "")</f>
        <v/>
      </c>
      <c r="J112" t="str">
        <f>IFERROR(VLOOKUP(#REF!,#REF!, 2, FALSE), "")</f>
        <v/>
      </c>
      <c r="K112" t="str">
        <f>IFERROR(VLOOKUP(#REF!,#REF!, 3, FALSE), "")</f>
        <v/>
      </c>
      <c r="L112" t="str">
        <f>IFERROR(VLOOKUP(#REF!,#REF!, 4, FALSE), "")</f>
        <v/>
      </c>
      <c r="M112">
        <f t="shared" si="3"/>
        <v>0</v>
      </c>
      <c r="N112" t="e">
        <f t="shared" si="4"/>
        <v>#VALUE!</v>
      </c>
      <c r="O112" t="str">
        <f>IFERROR(VLOOKUP(#REF!, erp_leave!$A:$D, 2, FALSE), "")</f>
        <v/>
      </c>
      <c r="P112">
        <f t="shared" si="5"/>
        <v>0</v>
      </c>
    </row>
    <row r="113" spans="1:16">
      <c r="A113" s="5" t="str">
        <f>biometric!A113</f>
        <v>GCU030138</v>
      </c>
      <c r="B113" s="5" t="str">
        <f>biometric!B113</f>
        <v>Anita Basfor</v>
      </c>
      <c r="C113" s="5" t="str">
        <f>biometric!C113</f>
        <v>Cleaner</v>
      </c>
      <c r="D113" s="5" t="str">
        <f>biometric!D113</f>
        <v>Admin Non Teaching</v>
      </c>
      <c r="E113" s="7">
        <v>20</v>
      </c>
      <c r="F113" s="7"/>
      <c r="G113" t="str">
        <f>IFERROR(VLOOKUP(#REF!,#REF!, 6, FALSE), "")</f>
        <v/>
      </c>
      <c r="H113" t="str">
        <f>IFERROR(VLOOKUP(#REF!,#REF!, 7, FALSE), "")</f>
        <v/>
      </c>
      <c r="I113" t="str">
        <f>IFERROR(VLOOKUP(#REF!,#REF!, 14, FALSE), "")</f>
        <v/>
      </c>
      <c r="J113" t="str">
        <f>IFERROR(VLOOKUP(#REF!,#REF!, 2, FALSE), "")</f>
        <v/>
      </c>
      <c r="K113" t="str">
        <f>IFERROR(VLOOKUP(#REF!,#REF!, 3, FALSE), "")</f>
        <v/>
      </c>
      <c r="L113" t="str">
        <f>IFERROR(VLOOKUP(#REF!,#REF!, 4, FALSE), "")</f>
        <v/>
      </c>
      <c r="M113">
        <f t="shared" si="3"/>
        <v>0</v>
      </c>
      <c r="N113" t="e">
        <f t="shared" si="4"/>
        <v>#VALUE!</v>
      </c>
      <c r="O113" t="str">
        <f>IFERROR(VLOOKUP(#REF!, erp_leave!$A:$D, 2, FALSE), "")</f>
        <v/>
      </c>
      <c r="P113">
        <f t="shared" si="5"/>
        <v>0</v>
      </c>
    </row>
    <row r="114" spans="1:16">
      <c r="A114" s="5" t="str">
        <f>biometric!A114</f>
        <v>GCU030140</v>
      </c>
      <c r="B114" s="5" t="str">
        <f>biometric!B114</f>
        <v>Madan Das</v>
      </c>
      <c r="C114" s="5" t="str">
        <f>biometric!C114</f>
        <v>Non Teaching</v>
      </c>
      <c r="D114" s="5" t="str">
        <f>biometric!D114</f>
        <v>Admin Non Teaching</v>
      </c>
      <c r="E114" s="7">
        <v>20</v>
      </c>
      <c r="F114" s="7"/>
      <c r="G114" t="str">
        <f>IFERROR(VLOOKUP(#REF!,#REF!, 6, FALSE), "")</f>
        <v/>
      </c>
      <c r="H114" t="str">
        <f>IFERROR(VLOOKUP(#REF!,#REF!, 7, FALSE), "")</f>
        <v/>
      </c>
      <c r="I114" t="str">
        <f>IFERROR(VLOOKUP(#REF!,#REF!, 14, FALSE), "")</f>
        <v/>
      </c>
      <c r="J114" t="str">
        <f>IFERROR(VLOOKUP(#REF!,#REF!, 2, FALSE), "")</f>
        <v/>
      </c>
      <c r="K114" t="str">
        <f>IFERROR(VLOOKUP(#REF!,#REF!, 3, FALSE), "")</f>
        <v/>
      </c>
      <c r="L114" t="str">
        <f>IFERROR(VLOOKUP(#REF!,#REF!, 4, FALSE), "")</f>
        <v/>
      </c>
      <c r="M114">
        <f t="shared" si="3"/>
        <v>0</v>
      </c>
      <c r="N114" t="e">
        <f t="shared" si="4"/>
        <v>#VALUE!</v>
      </c>
      <c r="O114" t="str">
        <f>IFERROR(VLOOKUP(#REF!, erp_leave!$A:$D, 2, FALSE), "")</f>
        <v/>
      </c>
      <c r="P114">
        <f t="shared" si="5"/>
        <v>0</v>
      </c>
    </row>
    <row r="115" spans="1:16">
      <c r="A115" s="5" t="str">
        <f>biometric!A115</f>
        <v>GCU030141</v>
      </c>
      <c r="B115" s="5" t="str">
        <f>biometric!B115</f>
        <v>Bhabajyoti Baishya</v>
      </c>
      <c r="C115" s="5" t="str">
        <f>biometric!C115</f>
        <v>Multitasking Executive</v>
      </c>
      <c r="D115" s="5" t="str">
        <f>biometric!D115</f>
        <v>Admin Non Teaching</v>
      </c>
      <c r="E115" s="7">
        <v>20</v>
      </c>
      <c r="F115" s="7"/>
      <c r="G115" t="str">
        <f>IFERROR(VLOOKUP(#REF!,#REF!, 6, FALSE), "")</f>
        <v/>
      </c>
      <c r="H115" t="str">
        <f>IFERROR(VLOOKUP(#REF!,#REF!, 7, FALSE), "")</f>
        <v/>
      </c>
      <c r="I115" t="str">
        <f>IFERROR(VLOOKUP(#REF!,#REF!, 14, FALSE), "")</f>
        <v/>
      </c>
      <c r="J115" t="str">
        <f>IFERROR(VLOOKUP(#REF!,#REF!, 2, FALSE), "")</f>
        <v/>
      </c>
      <c r="K115" t="str">
        <f>IFERROR(VLOOKUP(#REF!,#REF!, 3, FALSE), "")</f>
        <v/>
      </c>
      <c r="L115" t="str">
        <f>IFERROR(VLOOKUP(#REF!,#REF!, 4, FALSE), "")</f>
        <v/>
      </c>
      <c r="M115">
        <f t="shared" si="3"/>
        <v>0</v>
      </c>
      <c r="N115" t="e">
        <f t="shared" si="4"/>
        <v>#VALUE!</v>
      </c>
      <c r="O115" t="str">
        <f>IFERROR(VLOOKUP(#REF!, erp_leave!$A:$D, 2, FALSE), "")</f>
        <v/>
      </c>
      <c r="P115">
        <f t="shared" si="5"/>
        <v>0</v>
      </c>
    </row>
    <row r="116" spans="1:16">
      <c r="A116" s="5" t="str">
        <f>biometric!A116</f>
        <v>GCU030142</v>
      </c>
      <c r="B116" s="5" t="str">
        <f>biometric!B116</f>
        <v>Bijoy Mandal</v>
      </c>
      <c r="C116" s="5" t="str">
        <f>biometric!C116</f>
        <v>Non Teaching</v>
      </c>
      <c r="D116" s="5" t="str">
        <f>biometric!D116</f>
        <v>Admin Non Teaching</v>
      </c>
      <c r="E116" s="7">
        <v>20</v>
      </c>
      <c r="F116" s="7"/>
      <c r="G116" t="str">
        <f>IFERROR(VLOOKUP(#REF!,#REF!, 6, FALSE), "")</f>
        <v/>
      </c>
      <c r="H116" t="str">
        <f>IFERROR(VLOOKUP(#REF!,#REF!, 7, FALSE), "")</f>
        <v/>
      </c>
      <c r="I116" t="str">
        <f>IFERROR(VLOOKUP(#REF!,#REF!, 14, FALSE), "")</f>
        <v/>
      </c>
      <c r="J116" t="str">
        <f>IFERROR(VLOOKUP(#REF!,#REF!, 2, FALSE), "")</f>
        <v/>
      </c>
      <c r="K116" t="str">
        <f>IFERROR(VLOOKUP(#REF!,#REF!, 3, FALSE), "")</f>
        <v/>
      </c>
      <c r="L116" t="str">
        <f>IFERROR(VLOOKUP(#REF!,#REF!, 4, FALSE), "")</f>
        <v/>
      </c>
      <c r="M116">
        <f t="shared" si="3"/>
        <v>0</v>
      </c>
      <c r="N116" t="e">
        <f t="shared" si="4"/>
        <v>#VALUE!</v>
      </c>
      <c r="O116" t="str">
        <f>IFERROR(VLOOKUP(#REF!, erp_leave!$A:$D, 2, FALSE), "")</f>
        <v/>
      </c>
      <c r="P116">
        <f t="shared" si="5"/>
        <v>0</v>
      </c>
    </row>
    <row r="117" spans="1:16">
      <c r="A117" s="5" t="str">
        <f>biometric!A117</f>
        <v>GCU030144</v>
      </c>
      <c r="B117" s="5" t="str">
        <f>biometric!B117</f>
        <v>Kalyan Changmai</v>
      </c>
      <c r="C117" s="5" t="str">
        <f>biometric!C117</f>
        <v>Multitasking Executive</v>
      </c>
      <c r="D117" s="5" t="str">
        <f>biometric!D117</f>
        <v>Admin Non Teaching</v>
      </c>
      <c r="E117" s="7">
        <v>20</v>
      </c>
      <c r="F117" s="7"/>
      <c r="G117" t="str">
        <f>IFERROR(VLOOKUP(#REF!,#REF!, 6, FALSE), "")</f>
        <v/>
      </c>
      <c r="H117" t="str">
        <f>IFERROR(VLOOKUP(#REF!,#REF!, 7, FALSE), "")</f>
        <v/>
      </c>
      <c r="I117" t="str">
        <f>IFERROR(VLOOKUP(#REF!,#REF!, 14, FALSE), "")</f>
        <v/>
      </c>
      <c r="J117" t="str">
        <f>IFERROR(VLOOKUP(#REF!,#REF!, 2, FALSE), "")</f>
        <v/>
      </c>
      <c r="K117" t="str">
        <f>IFERROR(VLOOKUP(#REF!,#REF!, 3, FALSE), "")</f>
        <v/>
      </c>
      <c r="L117" t="str">
        <f>IFERROR(VLOOKUP(#REF!,#REF!, 4, FALSE), "")</f>
        <v/>
      </c>
      <c r="M117">
        <f t="shared" si="3"/>
        <v>0</v>
      </c>
      <c r="N117" t="e">
        <f t="shared" si="4"/>
        <v>#VALUE!</v>
      </c>
      <c r="O117" t="str">
        <f>IFERROR(VLOOKUP(#REF!, erp_leave!$A:$D, 2, FALSE), "")</f>
        <v/>
      </c>
      <c r="P117">
        <f t="shared" si="5"/>
        <v>0</v>
      </c>
    </row>
    <row r="118" spans="1:16">
      <c r="A118" s="5" t="str">
        <f>biometric!A118</f>
        <v>GCU030146</v>
      </c>
      <c r="B118" s="5" t="str">
        <f>biometric!B118</f>
        <v>Kanshouwa Torung Maring</v>
      </c>
      <c r="C118" s="5" t="str">
        <f>biometric!C118</f>
        <v>Non Teaching</v>
      </c>
      <c r="D118" s="5" t="str">
        <f>biometric!D118</f>
        <v>Admin Non Teaching</v>
      </c>
      <c r="E118" s="7">
        <v>20</v>
      </c>
      <c r="F118" s="7"/>
      <c r="G118" t="str">
        <f>IFERROR(VLOOKUP(#REF!,#REF!, 6, FALSE), "")</f>
        <v/>
      </c>
      <c r="H118" t="str">
        <f>IFERROR(VLOOKUP(#REF!,#REF!, 7, FALSE), "")</f>
        <v/>
      </c>
      <c r="I118" t="str">
        <f>IFERROR(VLOOKUP(#REF!,#REF!, 14, FALSE), "")</f>
        <v/>
      </c>
      <c r="J118" t="str">
        <f>IFERROR(VLOOKUP(#REF!,#REF!, 2, FALSE), "")</f>
        <v/>
      </c>
      <c r="K118" t="str">
        <f>IFERROR(VLOOKUP(#REF!,#REF!, 3, FALSE), "")</f>
        <v/>
      </c>
      <c r="L118" t="str">
        <f>IFERROR(VLOOKUP(#REF!,#REF!, 4, FALSE), "")</f>
        <v/>
      </c>
      <c r="M118">
        <f t="shared" si="3"/>
        <v>0</v>
      </c>
      <c r="N118" t="e">
        <f t="shared" si="4"/>
        <v>#VALUE!</v>
      </c>
      <c r="O118" t="str">
        <f>IFERROR(VLOOKUP(#REF!, erp_leave!$A:$D, 2, FALSE), "")</f>
        <v/>
      </c>
      <c r="P118">
        <f t="shared" si="5"/>
        <v>0</v>
      </c>
    </row>
    <row r="119" spans="1:16">
      <c r="A119" s="5" t="str">
        <f>biometric!A119</f>
        <v>GCU030149</v>
      </c>
      <c r="B119" s="5" t="str">
        <f>biometric!B119</f>
        <v>Rina Basfor</v>
      </c>
      <c r="C119" s="5" t="str">
        <f>biometric!C119</f>
        <v>Cleaner</v>
      </c>
      <c r="D119" s="5" t="str">
        <f>biometric!D119</f>
        <v>Admin Non Teaching</v>
      </c>
      <c r="E119" s="7">
        <v>20</v>
      </c>
      <c r="F119" s="7"/>
      <c r="G119" t="str">
        <f>IFERROR(VLOOKUP(#REF!,#REF!, 6, FALSE), "")</f>
        <v/>
      </c>
      <c r="H119" t="str">
        <f>IFERROR(VLOOKUP(#REF!,#REF!, 7, FALSE), "")</f>
        <v/>
      </c>
      <c r="I119" t="str">
        <f>IFERROR(VLOOKUP(#REF!,#REF!, 14, FALSE), "")</f>
        <v/>
      </c>
      <c r="J119" t="str">
        <f>IFERROR(VLOOKUP(#REF!,#REF!, 2, FALSE), "")</f>
        <v/>
      </c>
      <c r="K119" t="str">
        <f>IFERROR(VLOOKUP(#REF!,#REF!, 3, FALSE), "")</f>
        <v/>
      </c>
      <c r="L119" t="str">
        <f>IFERROR(VLOOKUP(#REF!,#REF!, 4, FALSE), "")</f>
        <v/>
      </c>
      <c r="M119">
        <f t="shared" si="3"/>
        <v>0</v>
      </c>
      <c r="N119" t="e">
        <f t="shared" si="4"/>
        <v>#VALUE!</v>
      </c>
      <c r="O119" t="str">
        <f>IFERROR(VLOOKUP(#REF!, erp_leave!$A:$D, 2, FALSE), "")</f>
        <v/>
      </c>
      <c r="P119">
        <f t="shared" si="5"/>
        <v>0</v>
      </c>
    </row>
    <row r="120" spans="1:16" s="3" customFormat="1">
      <c r="A120" s="5" t="str">
        <f>biometric!A120</f>
        <v>GCU030150</v>
      </c>
      <c r="B120" s="5" t="str">
        <f>biometric!B120</f>
        <v>Hitesh Kalita</v>
      </c>
      <c r="C120" s="5" t="str">
        <f>biometric!C120</f>
        <v>Security Guard</v>
      </c>
      <c r="D120" s="5" t="str">
        <f>biometric!D120</f>
        <v>Admin Non Teaching</v>
      </c>
      <c r="E120" s="7">
        <v>20</v>
      </c>
      <c r="F120" s="7"/>
      <c r="G120" s="3" t="str">
        <f>IFERROR(VLOOKUP(#REF!,#REF!, 6, FALSE), "")</f>
        <v/>
      </c>
      <c r="H120" s="3" t="str">
        <f>IFERROR(VLOOKUP(#REF!,#REF!, 7, FALSE), "")</f>
        <v/>
      </c>
      <c r="I120" s="3" t="str">
        <f>IFERROR(VLOOKUP(#REF!,#REF!, 14, FALSE), "")</f>
        <v/>
      </c>
      <c r="J120" s="3" t="str">
        <f>IFERROR(VLOOKUP(#REF!,#REF!, 2, FALSE), "")</f>
        <v/>
      </c>
      <c r="K120" s="3" t="str">
        <f>IFERROR(VLOOKUP(#REF!,#REF!, 3, FALSE), "")</f>
        <v/>
      </c>
      <c r="L120" s="3" t="str">
        <f>IFERROR(VLOOKUP(#REF!,#REF!, 4, FALSE), "")</f>
        <v/>
      </c>
      <c r="M120" s="3">
        <f t="shared" si="3"/>
        <v>0</v>
      </c>
      <c r="N120" s="3" t="e">
        <f t="shared" si="4"/>
        <v>#VALUE!</v>
      </c>
      <c r="O120" t="str">
        <f>IFERROR(VLOOKUP(#REF!, erp_leave!$A:$D, 2, FALSE), "")</f>
        <v/>
      </c>
      <c r="P120">
        <f t="shared" si="5"/>
        <v>0</v>
      </c>
    </row>
    <row r="121" spans="1:16">
      <c r="A121" s="5" t="str">
        <f>biometric!A121</f>
        <v>GCU030151</v>
      </c>
      <c r="B121" s="5" t="str">
        <f>biometric!B121</f>
        <v>Raja Mohan</v>
      </c>
      <c r="C121" s="5" t="str">
        <f>biometric!C121</f>
        <v>Security Guard</v>
      </c>
      <c r="D121" s="5" t="str">
        <f>biometric!D121</f>
        <v>Admin Non Teaching</v>
      </c>
      <c r="E121" s="7">
        <v>20</v>
      </c>
      <c r="F121" s="7"/>
      <c r="G121" t="str">
        <f>IFERROR(VLOOKUP(#REF!,#REF!, 6, FALSE), "")</f>
        <v/>
      </c>
      <c r="H121" t="str">
        <f>IFERROR(VLOOKUP(#REF!,#REF!, 7, FALSE), "")</f>
        <v/>
      </c>
      <c r="I121" t="str">
        <f>IFERROR(VLOOKUP(#REF!,#REF!, 14, FALSE), "")</f>
        <v/>
      </c>
      <c r="J121" t="str">
        <f>IFERROR(VLOOKUP(#REF!,#REF!, 2, FALSE), "")</f>
        <v/>
      </c>
      <c r="K121" t="str">
        <f>IFERROR(VLOOKUP(#REF!,#REF!, 3, FALSE), "")</f>
        <v/>
      </c>
      <c r="L121" t="str">
        <f>IFERROR(VLOOKUP(#REF!,#REF!, 4, FALSE), "")</f>
        <v/>
      </c>
      <c r="M121">
        <f t="shared" si="3"/>
        <v>0</v>
      </c>
      <c r="N121" t="e">
        <f t="shared" si="4"/>
        <v>#VALUE!</v>
      </c>
      <c r="O121" t="str">
        <f>IFERROR(VLOOKUP(#REF!, erp_leave!$A:$D, 2, FALSE), "")</f>
        <v/>
      </c>
      <c r="P121">
        <f t="shared" si="5"/>
        <v>0</v>
      </c>
    </row>
    <row r="122" spans="1:16">
      <c r="A122" s="5" t="str">
        <f>biometric!A122</f>
        <v>GCU030153</v>
      </c>
      <c r="B122" s="5" t="str">
        <f>biometric!B122</f>
        <v>Pinku Mohan</v>
      </c>
      <c r="C122" s="5" t="str">
        <f>biometric!C122</f>
        <v>Driver</v>
      </c>
      <c r="D122" s="5" t="str">
        <f>biometric!D122</f>
        <v>Admin Non Teaching</v>
      </c>
      <c r="E122" s="7">
        <v>20</v>
      </c>
      <c r="F122" s="7"/>
      <c r="G122" t="str">
        <f>IFERROR(VLOOKUP(#REF!,#REF!, 6, FALSE), "")</f>
        <v/>
      </c>
      <c r="H122" t="str">
        <f>IFERROR(VLOOKUP(#REF!,#REF!, 7, FALSE), "")</f>
        <v/>
      </c>
      <c r="I122" t="str">
        <f>IFERROR(VLOOKUP(#REF!,#REF!, 14, FALSE), "")</f>
        <v/>
      </c>
      <c r="J122" t="str">
        <f>IFERROR(VLOOKUP(#REF!,#REF!, 2, FALSE), "")</f>
        <v/>
      </c>
      <c r="K122" t="str">
        <f>IFERROR(VLOOKUP(#REF!,#REF!, 3, FALSE), "")</f>
        <v/>
      </c>
      <c r="L122" t="str">
        <f>IFERROR(VLOOKUP(#REF!,#REF!, 4, FALSE), "")</f>
        <v/>
      </c>
      <c r="M122">
        <f t="shared" si="3"/>
        <v>0</v>
      </c>
      <c r="N122" t="e">
        <f t="shared" si="4"/>
        <v>#VALUE!</v>
      </c>
      <c r="O122" t="str">
        <f>IFERROR(VLOOKUP(#REF!, erp_leave!$A:$D, 2, FALSE), "")</f>
        <v/>
      </c>
      <c r="P122">
        <f t="shared" si="5"/>
        <v>0</v>
      </c>
    </row>
    <row r="123" spans="1:16">
      <c r="A123" s="5" t="str">
        <f>biometric!A123</f>
        <v>GCU030155</v>
      </c>
      <c r="B123" s="5" t="str">
        <f>biometric!B123</f>
        <v>Md Zakir Hussain</v>
      </c>
      <c r="C123" s="5" t="str">
        <f>biometric!C123</f>
        <v>Security (I/C)</v>
      </c>
      <c r="D123" s="5" t="str">
        <f>biometric!D123</f>
        <v>Admin Non Teaching</v>
      </c>
      <c r="E123" s="7">
        <v>20</v>
      </c>
      <c r="F123" s="7"/>
      <c r="G123" t="str">
        <f>IFERROR(VLOOKUP(#REF!,#REF!, 6, FALSE), "")</f>
        <v/>
      </c>
      <c r="H123" t="str">
        <f>IFERROR(VLOOKUP(#REF!,#REF!, 7, FALSE), "")</f>
        <v/>
      </c>
      <c r="I123" t="str">
        <f>IFERROR(VLOOKUP(#REF!,#REF!, 14, FALSE), "")</f>
        <v/>
      </c>
      <c r="J123" t="str">
        <f>IFERROR(VLOOKUP(#REF!,#REF!, 2, FALSE), "")</f>
        <v/>
      </c>
      <c r="K123" t="str">
        <f>IFERROR(VLOOKUP(#REF!,#REF!, 3, FALSE), "")</f>
        <v/>
      </c>
      <c r="L123" t="str">
        <f>IFERROR(VLOOKUP(#REF!,#REF!, 4, FALSE), "")</f>
        <v/>
      </c>
      <c r="M123">
        <f t="shared" si="3"/>
        <v>0</v>
      </c>
      <c r="N123" t="e">
        <f t="shared" si="4"/>
        <v>#VALUE!</v>
      </c>
      <c r="O123" t="str">
        <f>IFERROR(VLOOKUP(#REF!, erp_leave!$A:$D, 2, FALSE), "")</f>
        <v/>
      </c>
      <c r="P123">
        <f t="shared" si="5"/>
        <v>0</v>
      </c>
    </row>
    <row r="124" spans="1:16">
      <c r="A124" s="5" t="str">
        <f>biometric!A124</f>
        <v>GCU030156</v>
      </c>
      <c r="B124" s="5" t="str">
        <f>biometric!B124</f>
        <v>Simanta Talukdar</v>
      </c>
      <c r="C124" s="5" t="str">
        <f>biometric!C124</f>
        <v>Security Guard</v>
      </c>
      <c r="D124" s="5" t="str">
        <f>biometric!D124</f>
        <v>Admin Non Teaching</v>
      </c>
      <c r="E124" s="7">
        <v>20</v>
      </c>
      <c r="F124" s="7"/>
      <c r="G124" t="str">
        <f>IFERROR(VLOOKUP(#REF!,#REF!, 6, FALSE), "")</f>
        <v/>
      </c>
      <c r="H124" t="str">
        <f>IFERROR(VLOOKUP(#REF!,#REF!, 7, FALSE), "")</f>
        <v/>
      </c>
      <c r="I124" t="str">
        <f>IFERROR(VLOOKUP(#REF!,#REF!, 14, FALSE), "")</f>
        <v/>
      </c>
      <c r="J124" t="str">
        <f>IFERROR(VLOOKUP(#REF!,#REF!, 2, FALSE), "")</f>
        <v/>
      </c>
      <c r="K124" t="str">
        <f>IFERROR(VLOOKUP(#REF!,#REF!, 3, FALSE), "")</f>
        <v/>
      </c>
      <c r="L124" t="str">
        <f>IFERROR(VLOOKUP(#REF!,#REF!, 4, FALSE), "")</f>
        <v/>
      </c>
      <c r="M124">
        <f t="shared" si="3"/>
        <v>0</v>
      </c>
      <c r="N124" t="e">
        <f t="shared" si="4"/>
        <v>#VALUE!</v>
      </c>
      <c r="O124" t="str">
        <f>IFERROR(VLOOKUP(#REF!, erp_leave!$A:$D, 2, FALSE), "")</f>
        <v/>
      </c>
      <c r="P124">
        <f t="shared" si="5"/>
        <v>0</v>
      </c>
    </row>
    <row r="125" spans="1:16">
      <c r="A125" s="5" t="str">
        <f>biometric!A125</f>
        <v>GCU030157</v>
      </c>
      <c r="B125" s="5" t="str">
        <f>biometric!B125</f>
        <v>Pabitra Das</v>
      </c>
      <c r="C125" s="5" t="str">
        <f>biometric!C125</f>
        <v>Security Guard</v>
      </c>
      <c r="D125" s="5" t="str">
        <f>biometric!D125</f>
        <v>Admin Non Teaching</v>
      </c>
      <c r="E125" s="7">
        <v>20</v>
      </c>
      <c r="F125" s="7"/>
      <c r="G125" t="str">
        <f>IFERROR(VLOOKUP(#REF!,#REF!, 6, FALSE), "")</f>
        <v/>
      </c>
      <c r="H125" t="str">
        <f>IFERROR(VLOOKUP(#REF!,#REF!, 7, FALSE), "")</f>
        <v/>
      </c>
      <c r="I125" t="str">
        <f>IFERROR(VLOOKUP(#REF!,#REF!, 14, FALSE), "")</f>
        <v/>
      </c>
      <c r="J125" t="str">
        <f>IFERROR(VLOOKUP(#REF!,#REF!, 2, FALSE), "")</f>
        <v/>
      </c>
      <c r="K125" t="str">
        <f>IFERROR(VLOOKUP(#REF!,#REF!, 3, FALSE), "")</f>
        <v/>
      </c>
      <c r="L125" t="str">
        <f>IFERROR(VLOOKUP(#REF!,#REF!, 4, FALSE), "")</f>
        <v/>
      </c>
      <c r="M125">
        <f t="shared" si="3"/>
        <v>0</v>
      </c>
      <c r="N125" t="e">
        <f t="shared" si="4"/>
        <v>#VALUE!</v>
      </c>
      <c r="O125" t="str">
        <f>IFERROR(VLOOKUP(#REF!, erp_leave!$A:$D, 2, FALSE), "")</f>
        <v/>
      </c>
      <c r="P125">
        <f t="shared" si="5"/>
        <v>0</v>
      </c>
    </row>
    <row r="126" spans="1:16">
      <c r="A126" s="5" t="str">
        <f>biometric!A126</f>
        <v>GCU030162</v>
      </c>
      <c r="B126" s="5" t="str">
        <f>biometric!B126</f>
        <v>Nripen Das</v>
      </c>
      <c r="C126" s="5" t="str">
        <f>biometric!C126</f>
        <v>Multitasking Assistant</v>
      </c>
      <c r="D126" s="5" t="str">
        <f>biometric!D126</f>
        <v>Admin Non Teaching</v>
      </c>
      <c r="E126" s="7">
        <v>20</v>
      </c>
      <c r="F126" s="7"/>
      <c r="G126" t="str">
        <f>IFERROR(VLOOKUP(#REF!,#REF!, 6, FALSE), "")</f>
        <v/>
      </c>
      <c r="H126" t="str">
        <f>IFERROR(VLOOKUP(#REF!,#REF!, 7, FALSE), "")</f>
        <v/>
      </c>
      <c r="I126" t="str">
        <f>IFERROR(VLOOKUP(#REF!,#REF!, 14, FALSE), "")</f>
        <v/>
      </c>
      <c r="J126" t="str">
        <f>IFERROR(VLOOKUP(#REF!,#REF!, 2, FALSE), "")</f>
        <v/>
      </c>
      <c r="K126" t="str">
        <f>IFERROR(VLOOKUP(#REF!,#REF!, 3, FALSE), "")</f>
        <v/>
      </c>
      <c r="L126" t="str">
        <f>IFERROR(VLOOKUP(#REF!,#REF!, 4, FALSE), "")</f>
        <v/>
      </c>
      <c r="M126">
        <f t="shared" si="3"/>
        <v>0</v>
      </c>
      <c r="N126" t="e">
        <f t="shared" si="4"/>
        <v>#VALUE!</v>
      </c>
      <c r="O126" t="str">
        <f>IFERROR(VLOOKUP(#REF!, erp_leave!$A:$D, 2, FALSE), "")</f>
        <v/>
      </c>
      <c r="P126">
        <f t="shared" si="5"/>
        <v>0</v>
      </c>
    </row>
    <row r="127" spans="1:16">
      <c r="A127" s="5" t="str">
        <f>biometric!A127</f>
        <v>GCU030163</v>
      </c>
      <c r="B127" s="5" t="str">
        <f>biometric!B127</f>
        <v>Sagar Basfor</v>
      </c>
      <c r="C127" s="5" t="str">
        <f>biometric!C127</f>
        <v>Cleaner</v>
      </c>
      <c r="D127" s="5" t="str">
        <f>biometric!D127</f>
        <v>Admin Non Teaching</v>
      </c>
      <c r="E127" s="7">
        <v>20</v>
      </c>
      <c r="F127" s="7"/>
      <c r="G127" t="str">
        <f>IFERROR(VLOOKUP(#REF!,#REF!, 6, FALSE), "")</f>
        <v/>
      </c>
      <c r="H127" t="str">
        <f>IFERROR(VLOOKUP(#REF!,#REF!, 7, FALSE), "")</f>
        <v/>
      </c>
      <c r="I127" t="str">
        <f>IFERROR(VLOOKUP(#REF!,#REF!, 14, FALSE), "")</f>
        <v/>
      </c>
      <c r="J127" t="str">
        <f>IFERROR(VLOOKUP(#REF!,#REF!, 2, FALSE), "")</f>
        <v/>
      </c>
      <c r="K127" t="str">
        <f>IFERROR(VLOOKUP(#REF!,#REF!, 3, FALSE), "")</f>
        <v/>
      </c>
      <c r="L127" t="str">
        <f>IFERROR(VLOOKUP(#REF!,#REF!, 4, FALSE), "")</f>
        <v/>
      </c>
      <c r="M127">
        <f t="shared" si="3"/>
        <v>0</v>
      </c>
      <c r="N127" t="e">
        <f t="shared" si="4"/>
        <v>#VALUE!</v>
      </c>
      <c r="O127" t="str">
        <f>IFERROR(VLOOKUP(#REF!, erp_leave!$A:$D, 2, FALSE), "")</f>
        <v/>
      </c>
      <c r="P127">
        <f t="shared" si="5"/>
        <v>0</v>
      </c>
    </row>
    <row r="128" spans="1:16">
      <c r="A128" s="5" t="str">
        <f>biometric!A128</f>
        <v>GCU030164</v>
      </c>
      <c r="B128" s="5" t="str">
        <f>biometric!B128</f>
        <v>Bhaskar Jyoti Bhuyan</v>
      </c>
      <c r="C128" s="5" t="str">
        <f>biometric!C128</f>
        <v>Administration</v>
      </c>
      <c r="D128" s="5" t="str">
        <f>biometric!D128</f>
        <v>Admin Non Teaching</v>
      </c>
      <c r="E128" s="7">
        <v>20</v>
      </c>
      <c r="F128" s="7"/>
      <c r="G128" t="str">
        <f>IFERROR(VLOOKUP(#REF!,#REF!, 6, FALSE), "")</f>
        <v/>
      </c>
      <c r="H128" t="str">
        <f>IFERROR(VLOOKUP(#REF!,#REF!, 7, FALSE), "")</f>
        <v/>
      </c>
      <c r="I128" t="str">
        <f>IFERROR(VLOOKUP(#REF!,#REF!, 14, FALSE), "")</f>
        <v/>
      </c>
      <c r="J128" t="str">
        <f>IFERROR(VLOOKUP(#REF!,#REF!, 2, FALSE), "")</f>
        <v/>
      </c>
      <c r="K128" t="str">
        <f>IFERROR(VLOOKUP(#REF!,#REF!, 3, FALSE), "")</f>
        <v/>
      </c>
      <c r="L128" t="str">
        <f>IFERROR(VLOOKUP(#REF!,#REF!, 4, FALSE), "")</f>
        <v/>
      </c>
      <c r="M128">
        <f t="shared" si="3"/>
        <v>0</v>
      </c>
      <c r="N128" t="e">
        <f t="shared" si="4"/>
        <v>#VALUE!</v>
      </c>
      <c r="O128" t="str">
        <f>IFERROR(VLOOKUP(#REF!, erp_leave!$A:$D, 2, FALSE), "")</f>
        <v/>
      </c>
      <c r="P128">
        <f t="shared" si="5"/>
        <v>0</v>
      </c>
    </row>
    <row r="129" spans="1:16">
      <c r="A129" s="5" t="str">
        <f>biometric!A129</f>
        <v>GCU030165</v>
      </c>
      <c r="B129" s="5" t="str">
        <f>biometric!B129</f>
        <v>Pranjit Sarma</v>
      </c>
      <c r="C129" s="5" t="str">
        <f>biometric!C129</f>
        <v>Non Teaching</v>
      </c>
      <c r="D129" s="5" t="str">
        <f>biometric!D129</f>
        <v>Admin Non Teaching</v>
      </c>
      <c r="E129" s="7">
        <v>20</v>
      </c>
      <c r="F129" s="7"/>
      <c r="G129" t="str">
        <f>IFERROR(VLOOKUP(#REF!,#REF!, 6, FALSE), "")</f>
        <v/>
      </c>
      <c r="H129" t="str">
        <f>IFERROR(VLOOKUP(#REF!,#REF!, 7, FALSE), "")</f>
        <v/>
      </c>
      <c r="I129" t="str">
        <f>IFERROR(VLOOKUP(#REF!,#REF!, 14, FALSE), "")</f>
        <v/>
      </c>
      <c r="J129" t="str">
        <f>IFERROR(VLOOKUP(#REF!,#REF!, 2, FALSE), "")</f>
        <v/>
      </c>
      <c r="K129" t="str">
        <f>IFERROR(VLOOKUP(#REF!,#REF!, 3, FALSE), "")</f>
        <v/>
      </c>
      <c r="L129" t="str">
        <f>IFERROR(VLOOKUP(#REF!,#REF!, 4, FALSE), "")</f>
        <v/>
      </c>
      <c r="M129">
        <f t="shared" si="3"/>
        <v>0</v>
      </c>
      <c r="N129" t="e">
        <f t="shared" si="4"/>
        <v>#VALUE!</v>
      </c>
      <c r="O129" t="str">
        <f>IFERROR(VLOOKUP(#REF!, erp_leave!$A:$D, 2, FALSE), "")</f>
        <v/>
      </c>
      <c r="P129">
        <f t="shared" si="5"/>
        <v>0</v>
      </c>
    </row>
    <row r="130" spans="1:16">
      <c r="A130" s="5" t="str">
        <f>biometric!A130</f>
        <v>GCU030166</v>
      </c>
      <c r="B130" s="5" t="str">
        <f>biometric!B130</f>
        <v>Hiran Devi</v>
      </c>
      <c r="C130" s="5" t="str">
        <f>biometric!C130</f>
        <v>Multitasking Executive</v>
      </c>
      <c r="D130" s="5" t="str">
        <f>biometric!D130</f>
        <v>Admin Non Teaching</v>
      </c>
      <c r="E130" s="7">
        <v>20</v>
      </c>
      <c r="F130" s="7"/>
      <c r="G130" t="str">
        <f>IFERROR(VLOOKUP(#REF!,#REF!, 6, FALSE), "")</f>
        <v/>
      </c>
      <c r="H130" t="str">
        <f>IFERROR(VLOOKUP(#REF!,#REF!, 7, FALSE), "")</f>
        <v/>
      </c>
      <c r="I130" t="str">
        <f>IFERROR(VLOOKUP(#REF!,#REF!, 14, FALSE), "")</f>
        <v/>
      </c>
      <c r="J130" t="str">
        <f>IFERROR(VLOOKUP(#REF!,#REF!, 2, FALSE), "")</f>
        <v/>
      </c>
      <c r="K130" t="str">
        <f>IFERROR(VLOOKUP(#REF!,#REF!, 3, FALSE), "")</f>
        <v/>
      </c>
      <c r="L130" t="str">
        <f>IFERROR(VLOOKUP(#REF!,#REF!, 4, FALSE), "")</f>
        <v/>
      </c>
      <c r="M130">
        <f t="shared" si="3"/>
        <v>0</v>
      </c>
      <c r="N130" t="e">
        <f t="shared" si="4"/>
        <v>#VALUE!</v>
      </c>
      <c r="O130" t="str">
        <f>IFERROR(VLOOKUP(#REF!, erp_leave!$A:$D, 2, FALSE), "")</f>
        <v/>
      </c>
      <c r="P130">
        <f t="shared" si="5"/>
        <v>0</v>
      </c>
    </row>
    <row r="131" spans="1:16">
      <c r="A131" s="5" t="str">
        <f>biometric!A131</f>
        <v>GCU030168</v>
      </c>
      <c r="B131" s="5" t="str">
        <f>biometric!B131</f>
        <v>Sajahan Ali</v>
      </c>
      <c r="C131" s="5" t="str">
        <f>biometric!C131</f>
        <v>Non Teaching</v>
      </c>
      <c r="D131" s="5" t="str">
        <f>biometric!D131</f>
        <v>Admin Non Teaching</v>
      </c>
      <c r="E131" s="7">
        <v>20</v>
      </c>
      <c r="F131" s="7"/>
      <c r="G131" t="str">
        <f>IFERROR(VLOOKUP(#REF!,#REF!, 6, FALSE), "")</f>
        <v/>
      </c>
      <c r="H131" t="str">
        <f>IFERROR(VLOOKUP(#REF!,#REF!, 7, FALSE), "")</f>
        <v/>
      </c>
      <c r="I131" t="str">
        <f>IFERROR(VLOOKUP(#REF!,#REF!, 14, FALSE), "")</f>
        <v/>
      </c>
      <c r="J131" t="str">
        <f>IFERROR(VLOOKUP(#REF!,#REF!, 2, FALSE), "")</f>
        <v/>
      </c>
      <c r="K131" t="str">
        <f>IFERROR(VLOOKUP(#REF!,#REF!, 3, FALSE), "")</f>
        <v/>
      </c>
      <c r="L131" t="str">
        <f>IFERROR(VLOOKUP(#REF!,#REF!, 4, FALSE), "")</f>
        <v/>
      </c>
      <c r="M131">
        <f t="shared" ref="M131:M144" si="6">IFERROR(K131*0.5+L131*1,0)</f>
        <v>0</v>
      </c>
      <c r="N131" t="e">
        <f t="shared" ref="N131:N144" si="7">H131-M131</f>
        <v>#VALUE!</v>
      </c>
      <c r="O131" t="str">
        <f>IFERROR(VLOOKUP(#REF!, erp_leave!$A:$D, 2, FALSE), "")</f>
        <v/>
      </c>
      <c r="P131">
        <f t="shared" ref="P131:P144" si="8">IFERROR(ABS(O131-N131),0)</f>
        <v>0</v>
      </c>
    </row>
    <row r="132" spans="1:16">
      <c r="A132" s="5" t="str">
        <f>biometric!A132</f>
        <v>GCU030169</v>
      </c>
      <c r="B132" s="5" t="str">
        <f>biometric!B132</f>
        <v>Himangshu Patowary</v>
      </c>
      <c r="C132" s="5" t="str">
        <f>biometric!C132</f>
        <v>Non Teaching</v>
      </c>
      <c r="D132" s="5" t="str">
        <f>biometric!D132</f>
        <v>Admin Non Teaching</v>
      </c>
      <c r="E132" s="7">
        <v>20</v>
      </c>
      <c r="F132" s="7"/>
      <c r="G132" t="str">
        <f>IFERROR(VLOOKUP(#REF!,#REF!, 6, FALSE), "")</f>
        <v/>
      </c>
      <c r="H132" t="str">
        <f>IFERROR(VLOOKUP(#REF!,#REF!, 7, FALSE), "")</f>
        <v/>
      </c>
      <c r="I132" t="str">
        <f>IFERROR(VLOOKUP(#REF!,#REF!, 14, FALSE), "")</f>
        <v/>
      </c>
      <c r="J132" t="str">
        <f>IFERROR(VLOOKUP(#REF!,#REF!, 2, FALSE), "")</f>
        <v/>
      </c>
      <c r="K132" t="str">
        <f>IFERROR(VLOOKUP(#REF!,#REF!, 3, FALSE), "")</f>
        <v/>
      </c>
      <c r="L132" t="str">
        <f>IFERROR(VLOOKUP(#REF!,#REF!, 4, FALSE), "")</f>
        <v/>
      </c>
      <c r="M132">
        <f t="shared" si="6"/>
        <v>0</v>
      </c>
      <c r="N132" t="e">
        <f t="shared" si="7"/>
        <v>#VALUE!</v>
      </c>
      <c r="O132" t="str">
        <f>IFERROR(VLOOKUP(#REF!, erp_leave!$A:$D, 2, FALSE), "")</f>
        <v/>
      </c>
      <c r="P132">
        <f t="shared" si="8"/>
        <v>0</v>
      </c>
    </row>
    <row r="133" spans="1:16">
      <c r="A133" s="5" t="str">
        <f>biometric!A133</f>
        <v>GCU030170</v>
      </c>
      <c r="B133" s="5" t="str">
        <f>biometric!B133</f>
        <v>Imran  Ali</v>
      </c>
      <c r="C133" s="5" t="str">
        <f>biometric!C133</f>
        <v>-</v>
      </c>
      <c r="D133" s="5" t="str">
        <f>biometric!D133</f>
        <v>Admin Non Teaching</v>
      </c>
      <c r="E133" s="7">
        <v>20</v>
      </c>
      <c r="F133" s="7"/>
      <c r="G133" t="str">
        <f>IFERROR(VLOOKUP(#REF!,#REF!, 6, FALSE), "")</f>
        <v/>
      </c>
      <c r="H133" t="str">
        <f>IFERROR(VLOOKUP(#REF!,#REF!, 7, FALSE), "")</f>
        <v/>
      </c>
      <c r="I133" t="str">
        <f>IFERROR(VLOOKUP(#REF!,#REF!, 14, FALSE), "")</f>
        <v/>
      </c>
      <c r="J133" t="str">
        <f>IFERROR(VLOOKUP(#REF!,#REF!, 2, FALSE), "")</f>
        <v/>
      </c>
      <c r="K133" t="str">
        <f>IFERROR(VLOOKUP(#REF!,#REF!, 3, FALSE), "")</f>
        <v/>
      </c>
      <c r="L133" t="str">
        <f>IFERROR(VLOOKUP(#REF!,#REF!, 4, FALSE), "")</f>
        <v/>
      </c>
      <c r="M133">
        <f t="shared" si="6"/>
        <v>0</v>
      </c>
      <c r="N133" t="e">
        <f t="shared" si="7"/>
        <v>#VALUE!</v>
      </c>
      <c r="O133" t="str">
        <f>IFERROR(VLOOKUP(#REF!, erp_leave!$A:$D, 2, FALSE), "")</f>
        <v/>
      </c>
      <c r="P133">
        <f t="shared" si="8"/>
        <v>0</v>
      </c>
    </row>
    <row r="134" spans="1:16">
      <c r="A134" s="5" t="str">
        <f>biometric!A134</f>
        <v>GCU030171</v>
      </c>
      <c r="B134" s="5" t="str">
        <f>biometric!B134</f>
        <v>Jiten Das</v>
      </c>
      <c r="C134" s="5" t="str">
        <f>biometric!C134</f>
        <v>Non Teaching</v>
      </c>
      <c r="D134" s="5" t="str">
        <f>biometric!D134</f>
        <v>Admin Non Teaching</v>
      </c>
      <c r="E134" s="7">
        <v>20</v>
      </c>
      <c r="F134" s="7"/>
      <c r="G134" t="str">
        <f>IFERROR(VLOOKUP(#REF!,#REF!, 6, FALSE), "")</f>
        <v/>
      </c>
      <c r="H134" t="str">
        <f>IFERROR(VLOOKUP(#REF!,#REF!, 7, FALSE), "")</f>
        <v/>
      </c>
      <c r="I134" t="str">
        <f>IFERROR(VLOOKUP(#REF!,#REF!, 14, FALSE), "")</f>
        <v/>
      </c>
      <c r="J134" t="str">
        <f>IFERROR(VLOOKUP(#REF!,#REF!, 2, FALSE), "")</f>
        <v/>
      </c>
      <c r="K134" t="str">
        <f>IFERROR(VLOOKUP(#REF!,#REF!, 3, FALSE), "")</f>
        <v/>
      </c>
      <c r="L134" t="str">
        <f>IFERROR(VLOOKUP(#REF!,#REF!, 4, FALSE), "")</f>
        <v/>
      </c>
      <c r="M134">
        <f t="shared" si="6"/>
        <v>0</v>
      </c>
      <c r="N134" t="e">
        <f t="shared" si="7"/>
        <v>#VALUE!</v>
      </c>
      <c r="O134" t="str">
        <f>IFERROR(VLOOKUP(#REF!, erp_leave!$A:$D, 2, FALSE), "")</f>
        <v/>
      </c>
      <c r="P134">
        <f t="shared" si="8"/>
        <v>0</v>
      </c>
    </row>
    <row r="135" spans="1:16">
      <c r="A135" s="5" t="str">
        <f>biometric!A135</f>
        <v>GCU030172</v>
      </c>
      <c r="B135" s="5">
        <f>biometric!B135</f>
        <v>0</v>
      </c>
      <c r="C135" s="5">
        <f>biometric!C135</f>
        <v>0</v>
      </c>
      <c r="D135" s="5">
        <f>biometric!D135</f>
        <v>0</v>
      </c>
      <c r="E135" s="7">
        <v>20</v>
      </c>
      <c r="F135" s="7"/>
      <c r="G135" t="str">
        <f>IFERROR(VLOOKUP(#REF!,#REF!, 6, FALSE), "")</f>
        <v/>
      </c>
      <c r="H135" t="str">
        <f>IFERROR(VLOOKUP(#REF!,#REF!, 7, FALSE), "")</f>
        <v/>
      </c>
      <c r="I135" t="str">
        <f>IFERROR(VLOOKUP(#REF!,#REF!, 14, FALSE), "")</f>
        <v/>
      </c>
      <c r="J135" t="str">
        <f>IFERROR(VLOOKUP(#REF!,#REF!, 2, FALSE), "")</f>
        <v/>
      </c>
      <c r="K135" t="str">
        <f>IFERROR(VLOOKUP(#REF!,#REF!, 3, FALSE), "")</f>
        <v/>
      </c>
      <c r="L135" t="str">
        <f>IFERROR(VLOOKUP(#REF!,#REF!, 4, FALSE), "")</f>
        <v/>
      </c>
      <c r="M135">
        <f t="shared" si="6"/>
        <v>0</v>
      </c>
      <c r="N135" t="e">
        <f t="shared" si="7"/>
        <v>#VALUE!</v>
      </c>
      <c r="O135" t="str">
        <f>IFERROR(VLOOKUP(#REF!, erp_leave!$A:$D, 2, FALSE), "")</f>
        <v/>
      </c>
      <c r="P135">
        <f t="shared" si="8"/>
        <v>0</v>
      </c>
    </row>
    <row r="136" spans="1:16">
      <c r="A136" s="5" t="str">
        <f>biometric!A136</f>
        <v>GCU030175</v>
      </c>
      <c r="B136" s="5" t="str">
        <f>biometric!B136</f>
        <v>Mrinmoy Gogoi</v>
      </c>
      <c r="C136" s="5" t="str">
        <f>biometric!C136</f>
        <v>Non Teaching</v>
      </c>
      <c r="D136" s="5" t="str">
        <f>biometric!D136</f>
        <v>Admin Non Teaching</v>
      </c>
      <c r="E136" s="7">
        <v>20</v>
      </c>
      <c r="F136" s="7"/>
      <c r="G136" t="str">
        <f>IFERROR(VLOOKUP(#REF!,#REF!, 6, FALSE), "")</f>
        <v/>
      </c>
      <c r="H136" t="str">
        <f>IFERROR(VLOOKUP(#REF!,#REF!, 7, FALSE), "")</f>
        <v/>
      </c>
      <c r="I136" t="str">
        <f>IFERROR(VLOOKUP(#REF!,#REF!, 14, FALSE), "")</f>
        <v/>
      </c>
      <c r="J136" t="str">
        <f>IFERROR(VLOOKUP(#REF!,#REF!, 2, FALSE), "")</f>
        <v/>
      </c>
      <c r="K136" t="str">
        <f>IFERROR(VLOOKUP(#REF!,#REF!, 3, FALSE), "")</f>
        <v/>
      </c>
      <c r="L136" t="str">
        <f>IFERROR(VLOOKUP(#REF!,#REF!, 4, FALSE), "")</f>
        <v/>
      </c>
      <c r="M136">
        <f t="shared" si="6"/>
        <v>0</v>
      </c>
      <c r="N136" t="e">
        <f t="shared" si="7"/>
        <v>#VALUE!</v>
      </c>
      <c r="O136" t="str">
        <f>IFERROR(VLOOKUP(#REF!, erp_leave!$A:$D, 2, FALSE), "")</f>
        <v/>
      </c>
      <c r="P136">
        <f t="shared" si="8"/>
        <v>0</v>
      </c>
    </row>
    <row r="137" spans="1:16">
      <c r="A137" s="5" t="str">
        <f>biometric!A137</f>
        <v>GCU030176</v>
      </c>
      <c r="B137" s="5" t="str">
        <f>biometric!B137</f>
        <v>Anisha Akhter</v>
      </c>
      <c r="C137" s="5" t="str">
        <f>biometric!C137</f>
        <v>Non Teaching</v>
      </c>
      <c r="D137" s="5" t="str">
        <f>biometric!D137</f>
        <v>Admin Non Teaching</v>
      </c>
      <c r="E137" s="7">
        <v>20</v>
      </c>
      <c r="F137" s="7"/>
      <c r="G137" t="str">
        <f>IFERROR(VLOOKUP(#REF!,#REF!, 6, FALSE), "")</f>
        <v/>
      </c>
      <c r="H137" t="str">
        <f>IFERROR(VLOOKUP(#REF!,#REF!, 7, FALSE), "")</f>
        <v/>
      </c>
      <c r="I137" t="str">
        <f>IFERROR(VLOOKUP(#REF!,#REF!, 14, FALSE), "")</f>
        <v/>
      </c>
      <c r="J137" t="str">
        <f>IFERROR(VLOOKUP(#REF!,#REF!, 2, FALSE), "")</f>
        <v/>
      </c>
      <c r="K137" t="str">
        <f>IFERROR(VLOOKUP(#REF!,#REF!, 3, FALSE), "")</f>
        <v/>
      </c>
      <c r="L137" t="str">
        <f>IFERROR(VLOOKUP(#REF!,#REF!, 4, FALSE), "")</f>
        <v/>
      </c>
      <c r="M137">
        <f t="shared" si="6"/>
        <v>0</v>
      </c>
      <c r="N137" t="e">
        <f t="shared" si="7"/>
        <v>#VALUE!</v>
      </c>
      <c r="O137" t="str">
        <f>IFERROR(VLOOKUP(#REF!, erp_leave!$A:$D, 2, FALSE), "")</f>
        <v/>
      </c>
      <c r="P137">
        <f t="shared" si="8"/>
        <v>0</v>
      </c>
    </row>
    <row r="138" spans="1:16">
      <c r="A138" s="5" t="str">
        <f>biometric!A138</f>
        <v>GCU030178</v>
      </c>
      <c r="B138" s="5" t="str">
        <f>biometric!B138</f>
        <v>Nisha Kalita</v>
      </c>
      <c r="C138" s="5" t="str">
        <f>biometric!C138</f>
        <v>Security Guard</v>
      </c>
      <c r="D138" s="5" t="str">
        <f>biometric!D138</f>
        <v>Admin Non Teaching</v>
      </c>
      <c r="E138" s="7">
        <v>20</v>
      </c>
      <c r="F138" s="7"/>
      <c r="G138" t="str">
        <f>IFERROR(VLOOKUP(#REF!,#REF!, 6, FALSE), "")</f>
        <v/>
      </c>
      <c r="H138" t="str">
        <f>IFERROR(VLOOKUP(#REF!,#REF!, 7, FALSE), "")</f>
        <v/>
      </c>
      <c r="I138" t="str">
        <f>IFERROR(VLOOKUP(#REF!,#REF!, 14, FALSE), "")</f>
        <v/>
      </c>
      <c r="J138" t="str">
        <f>IFERROR(VLOOKUP(#REF!,#REF!, 2, FALSE), "")</f>
        <v/>
      </c>
      <c r="K138" t="str">
        <f>IFERROR(VLOOKUP(#REF!,#REF!, 3, FALSE), "")</f>
        <v/>
      </c>
      <c r="L138" t="str">
        <f>IFERROR(VLOOKUP(#REF!,#REF!, 4, FALSE), "")</f>
        <v/>
      </c>
      <c r="M138">
        <f t="shared" si="6"/>
        <v>0</v>
      </c>
      <c r="N138" t="e">
        <f t="shared" si="7"/>
        <v>#VALUE!</v>
      </c>
      <c r="O138" t="str">
        <f>IFERROR(VLOOKUP(#REF!, erp_leave!$A:$D, 2, FALSE), "")</f>
        <v/>
      </c>
      <c r="P138">
        <f t="shared" si="8"/>
        <v>0</v>
      </c>
    </row>
    <row r="139" spans="1:16">
      <c r="A139" s="5" t="str">
        <f>biometric!A139</f>
        <v>GCU030179</v>
      </c>
      <c r="B139" s="5" t="str">
        <f>biometric!B139</f>
        <v>Akash Basfor</v>
      </c>
      <c r="C139" s="5" t="str">
        <f>biometric!C139</f>
        <v>Cleaner</v>
      </c>
      <c r="D139" s="5" t="str">
        <f>biometric!D139</f>
        <v>Admin Non Teaching</v>
      </c>
      <c r="E139" s="7">
        <v>20</v>
      </c>
      <c r="F139" s="7"/>
      <c r="G139" t="str">
        <f>IFERROR(VLOOKUP(#REF!,#REF!, 6, FALSE), "")</f>
        <v/>
      </c>
      <c r="H139" t="str">
        <f>IFERROR(VLOOKUP(#REF!,#REF!, 7, FALSE), "")</f>
        <v/>
      </c>
      <c r="I139" t="str">
        <f>IFERROR(VLOOKUP(#REF!,#REF!, 14, FALSE), "")</f>
        <v/>
      </c>
      <c r="J139" t="str">
        <f>IFERROR(VLOOKUP(#REF!,#REF!, 2, FALSE), "")</f>
        <v/>
      </c>
      <c r="K139" t="str">
        <f>IFERROR(VLOOKUP(#REF!,#REF!, 3, FALSE), "")</f>
        <v/>
      </c>
      <c r="L139" t="str">
        <f>IFERROR(VLOOKUP(#REF!,#REF!, 4, FALSE), "")</f>
        <v/>
      </c>
      <c r="M139">
        <f t="shared" si="6"/>
        <v>0</v>
      </c>
      <c r="N139" t="e">
        <f t="shared" si="7"/>
        <v>#VALUE!</v>
      </c>
      <c r="O139" t="str">
        <f>IFERROR(VLOOKUP(#REF!, erp_leave!$A:$D, 2, FALSE), "")</f>
        <v/>
      </c>
      <c r="P139">
        <f t="shared" si="8"/>
        <v>0</v>
      </c>
    </row>
    <row r="140" spans="1:16">
      <c r="A140" s="5" t="str">
        <f>biometric!A140</f>
        <v>GCU030181</v>
      </c>
      <c r="B140" s="5" t="str">
        <f>biometric!B140</f>
        <v>Minakshi Patowari</v>
      </c>
      <c r="C140" s="5" t="str">
        <f>biometric!C140</f>
        <v>Security Guard</v>
      </c>
      <c r="D140" s="5" t="str">
        <f>biometric!D140</f>
        <v>Admin Non Teaching</v>
      </c>
      <c r="E140" s="7">
        <v>20</v>
      </c>
      <c r="F140" s="7"/>
      <c r="G140" t="str">
        <f>IFERROR(VLOOKUP(#REF!,#REF!, 6, FALSE), "")</f>
        <v/>
      </c>
      <c r="H140" t="str">
        <f>IFERROR(VLOOKUP(#REF!,#REF!, 7, FALSE), "")</f>
        <v/>
      </c>
      <c r="I140" t="str">
        <f>IFERROR(VLOOKUP(#REF!,#REF!, 14, FALSE), "")</f>
        <v/>
      </c>
      <c r="J140" t="str">
        <f>IFERROR(VLOOKUP(#REF!,#REF!, 2, FALSE), "")</f>
        <v/>
      </c>
      <c r="K140" t="str">
        <f>IFERROR(VLOOKUP(#REF!,#REF!, 3, FALSE), "")</f>
        <v/>
      </c>
      <c r="L140" t="str">
        <f>IFERROR(VLOOKUP(#REF!,#REF!, 4, FALSE), "")</f>
        <v/>
      </c>
      <c r="M140">
        <f t="shared" si="6"/>
        <v>0</v>
      </c>
      <c r="N140" t="e">
        <f t="shared" si="7"/>
        <v>#VALUE!</v>
      </c>
      <c r="O140" t="str">
        <f>IFERROR(VLOOKUP(#REF!, erp_leave!$A:$D, 2, FALSE), "")</f>
        <v/>
      </c>
      <c r="P140">
        <f t="shared" si="8"/>
        <v>0</v>
      </c>
    </row>
    <row r="141" spans="1:16">
      <c r="A141" s="5" t="str">
        <f>biometric!A141</f>
        <v>GCU030183</v>
      </c>
      <c r="B141" s="5">
        <f>biometric!B141</f>
        <v>0</v>
      </c>
      <c r="C141" s="5">
        <f>biometric!C141</f>
        <v>0</v>
      </c>
      <c r="D141" s="5">
        <f>biometric!D141</f>
        <v>0</v>
      </c>
      <c r="E141" s="7"/>
      <c r="F141" s="7"/>
      <c r="G141" t="str">
        <f>IFERROR(VLOOKUP(#REF!,#REF!, 6, FALSE), "")</f>
        <v/>
      </c>
      <c r="H141" t="str">
        <f>IFERROR(VLOOKUP(#REF!,#REF!, 7, FALSE), "")</f>
        <v/>
      </c>
      <c r="I141" t="str">
        <f>IFERROR(VLOOKUP(#REF!,#REF!, 14, FALSE), "")</f>
        <v/>
      </c>
      <c r="J141" t="str">
        <f>IFERROR(VLOOKUP(#REF!,#REF!, 2, FALSE), "")</f>
        <v/>
      </c>
      <c r="K141" t="str">
        <f>IFERROR(VLOOKUP(#REF!,#REF!, 3, FALSE), "")</f>
        <v/>
      </c>
      <c r="L141" t="str">
        <f>IFERROR(VLOOKUP(#REF!,#REF!, 4, FALSE), "")</f>
        <v/>
      </c>
      <c r="M141">
        <f t="shared" si="6"/>
        <v>0</v>
      </c>
      <c r="N141" t="e">
        <f t="shared" si="7"/>
        <v>#VALUE!</v>
      </c>
      <c r="O141" t="str">
        <f>IFERROR(VLOOKUP(#REF!, erp_leave!$A:$D, 2, FALSE), "")</f>
        <v/>
      </c>
      <c r="P141">
        <f t="shared" si="8"/>
        <v>0</v>
      </c>
    </row>
    <row r="142" spans="1:16">
      <c r="A142" s="5" t="str">
        <f>biometric!A142</f>
        <v>GCU030184</v>
      </c>
      <c r="B142" s="5">
        <f>biometric!B142</f>
        <v>0</v>
      </c>
      <c r="C142" s="5">
        <f>biometric!C142</f>
        <v>0</v>
      </c>
      <c r="D142" s="5">
        <f>biometric!D142</f>
        <v>0</v>
      </c>
      <c r="E142" s="7"/>
      <c r="F142" s="7"/>
      <c r="G142" t="str">
        <f>IFERROR(VLOOKUP(#REF!,#REF!, 6, FALSE), "")</f>
        <v/>
      </c>
      <c r="H142" t="str">
        <f>IFERROR(VLOOKUP(#REF!,#REF!, 7, FALSE), "")</f>
        <v/>
      </c>
      <c r="I142" t="str">
        <f>IFERROR(VLOOKUP(#REF!,#REF!, 14, FALSE), "")</f>
        <v/>
      </c>
      <c r="J142" t="str">
        <f>IFERROR(VLOOKUP(#REF!,#REF!, 2, FALSE), "")</f>
        <v/>
      </c>
      <c r="K142" t="str">
        <f>IFERROR(VLOOKUP(#REF!,#REF!, 3, FALSE), "")</f>
        <v/>
      </c>
      <c r="L142" t="str">
        <f>IFERROR(VLOOKUP(#REF!,#REF!, 4, FALSE), "")</f>
        <v/>
      </c>
      <c r="M142">
        <f t="shared" si="6"/>
        <v>0</v>
      </c>
      <c r="N142" t="e">
        <f t="shared" si="7"/>
        <v>#VALUE!</v>
      </c>
      <c r="O142" t="str">
        <f>IFERROR(VLOOKUP(#REF!, erp_leave!$A:$D, 2, FALSE), "")</f>
        <v/>
      </c>
      <c r="P142">
        <f t="shared" si="8"/>
        <v>0</v>
      </c>
    </row>
    <row r="143" spans="1:16">
      <c r="A143" s="5" t="str">
        <f>biometric!A143</f>
        <v>GCU030185</v>
      </c>
      <c r="B143" s="5">
        <f>biometric!B143</f>
        <v>0</v>
      </c>
      <c r="C143" s="5">
        <f>biometric!C143</f>
        <v>0</v>
      </c>
      <c r="D143" s="5">
        <f>biometric!D143</f>
        <v>0</v>
      </c>
      <c r="E143" s="7"/>
      <c r="F143" s="7"/>
      <c r="G143" t="str">
        <f>IFERROR(VLOOKUP(#REF!,#REF!, 6, FALSE), "")</f>
        <v/>
      </c>
      <c r="H143" t="str">
        <f>IFERROR(VLOOKUP(#REF!,#REF!, 7, FALSE), "")</f>
        <v/>
      </c>
      <c r="I143" t="str">
        <f>IFERROR(VLOOKUP(#REF!,#REF!, 14, FALSE), "")</f>
        <v/>
      </c>
      <c r="J143" t="str">
        <f>IFERROR(VLOOKUP(#REF!,#REF!, 2, FALSE), "")</f>
        <v/>
      </c>
      <c r="K143" t="str">
        <f>IFERROR(VLOOKUP(#REF!,#REF!, 3, FALSE), "")</f>
        <v/>
      </c>
      <c r="L143" t="str">
        <f>IFERROR(VLOOKUP(#REF!,#REF!, 4, FALSE), "")</f>
        <v/>
      </c>
      <c r="M143">
        <f t="shared" si="6"/>
        <v>0</v>
      </c>
      <c r="N143" t="e">
        <f t="shared" si="7"/>
        <v>#VALUE!</v>
      </c>
      <c r="O143" t="str">
        <f>IFERROR(VLOOKUP(#REF!, erp_leave!$A:$D, 2, FALSE), "")</f>
        <v/>
      </c>
      <c r="P143">
        <f t="shared" si="8"/>
        <v>0</v>
      </c>
    </row>
    <row r="144" spans="1:16">
      <c r="A144" s="5" t="str">
        <f>biometric!A144</f>
        <v>GCU030186</v>
      </c>
      <c r="B144" s="5">
        <f>biometric!B144</f>
        <v>0</v>
      </c>
      <c r="C144" s="5">
        <f>biometric!C144</f>
        <v>0</v>
      </c>
      <c r="D144" s="5">
        <f>biometric!D144</f>
        <v>0</v>
      </c>
      <c r="E144" s="7"/>
      <c r="F144" s="7"/>
      <c r="G144" t="str">
        <f>IFERROR(VLOOKUP(#REF!,#REF!, 6, FALSE), "")</f>
        <v/>
      </c>
      <c r="H144" t="str">
        <f>IFERROR(VLOOKUP(#REF!,#REF!, 7, FALSE), "")</f>
        <v/>
      </c>
      <c r="I144" t="str">
        <f>IFERROR(VLOOKUP(#REF!,#REF!, 14, FALSE), "")</f>
        <v/>
      </c>
      <c r="J144" t="str">
        <f>IFERROR(VLOOKUP(#REF!,#REF!, 2, FALSE), "")</f>
        <v/>
      </c>
      <c r="K144" t="str">
        <f>IFERROR(VLOOKUP(#REF!,#REF!, 3, FALSE), "")</f>
        <v/>
      </c>
      <c r="L144" t="str">
        <f>IFERROR(VLOOKUP(#REF!,#REF!, 4, FALSE), "")</f>
        <v/>
      </c>
      <c r="M144">
        <f t="shared" si="6"/>
        <v>0</v>
      </c>
      <c r="N144" t="e">
        <f t="shared" si="7"/>
        <v>#VALUE!</v>
      </c>
      <c r="O144" t="str">
        <f>IFERROR(VLOOKUP(#REF!, erp_leave!$A:$D, 2, FALSE), "")</f>
        <v/>
      </c>
      <c r="P144">
        <f t="shared" si="8"/>
        <v>0</v>
      </c>
    </row>
    <row r="145" spans="1:6">
      <c r="A145" s="5"/>
      <c r="B145" s="5"/>
      <c r="C145" s="5"/>
      <c r="D145" s="5"/>
      <c r="E145" s="7"/>
      <c r="F145" s="7"/>
    </row>
    <row r="146" spans="1:6">
      <c r="A146" s="5"/>
      <c r="B146" s="5"/>
      <c r="C146" s="5"/>
      <c r="D146" s="5"/>
      <c r="E146" s="7"/>
      <c r="F146" s="7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21" sqref="M21"/>
    </sheetView>
  </sheetViews>
  <sheetFormatPr defaultRowHeight="14.4"/>
  <cols>
    <col min="1" max="1" width="17.44140625" customWidth="1"/>
    <col min="6" max="6" width="12.109375" customWidth="1"/>
    <col min="7" max="7" width="11.33203125" customWidth="1"/>
    <col min="8" max="8" width="16.77734375" customWidth="1"/>
    <col min="9" max="9" width="14.33203125" customWidth="1"/>
    <col min="10" max="10" width="20.77734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biometric</vt:lpstr>
      <vt:lpstr>exempted</vt:lpstr>
      <vt:lpstr>erp_leave</vt:lpstr>
      <vt:lpstr>calculation</vt:lpstr>
      <vt:lpstr>Final_report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2025-09-22T09:28:31Z</dcterms:created>
  <dcterms:modified xsi:type="dcterms:W3CDTF">2025-09-22T16:49:55Z</dcterms:modified>
</cp:coreProperties>
</file>